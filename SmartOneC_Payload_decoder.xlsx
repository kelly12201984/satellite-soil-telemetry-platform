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Charlie_APP\Global_Star\"/>
    </mc:Choice>
  </mc:AlternateContent>
  <xr:revisionPtr revIDLastSave="0" documentId="8_{3484C7E0-3172-4A38-8FC9-9B38722FA9BD}" xr6:coauthVersionLast="47" xr6:coauthVersionMax="47" xr10:uidLastSave="{00000000-0000-0000-0000-000000000000}"/>
  <bookViews>
    <workbookView xWindow="1042" yWindow="1042" windowWidth="18000" windowHeight="10433" xr2:uid="{E2AFECB3-09DE-4935-ACD3-473C53805F58}"/>
  </bookViews>
  <sheets>
    <sheet name="S1 C &amp; S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6" i="1" l="1"/>
  <c r="U46" i="1"/>
  <c r="T46" i="1"/>
  <c r="R46" i="1"/>
  <c r="P46" i="1"/>
  <c r="O46" i="1"/>
  <c r="N46" i="1"/>
  <c r="K46" i="1" a="1"/>
  <c r="K46" i="1" s="1"/>
  <c r="L46" i="1" s="1" a="1"/>
  <c r="L46" i="1" s="1"/>
  <c r="I46" i="1"/>
  <c r="J46" i="1" s="1"/>
  <c r="H46" i="1"/>
  <c r="AB46" i="1" s="1"/>
  <c r="G46" i="1"/>
  <c r="X46" i="1" s="1"/>
  <c r="F46" i="1"/>
  <c r="E46" i="1"/>
  <c r="Q46" i="1" s="1"/>
  <c r="S46" i="1" s="1"/>
  <c r="D46" i="1"/>
  <c r="AA45" i="1"/>
  <c r="Z45" i="1"/>
  <c r="Y45" i="1"/>
  <c r="X45" i="1"/>
  <c r="W45" i="1"/>
  <c r="O45" i="1"/>
  <c r="N45" i="1"/>
  <c r="M45" i="1"/>
  <c r="J45" i="1"/>
  <c r="I45" i="1"/>
  <c r="H45" i="1"/>
  <c r="AB45" i="1" s="1"/>
  <c r="G45" i="1"/>
  <c r="F45" i="1"/>
  <c r="R45" i="1" s="1"/>
  <c r="E45" i="1"/>
  <c r="Q45" i="1" s="1"/>
  <c r="S45" i="1" s="1"/>
  <c r="D45" i="1"/>
  <c r="T45" i="1" s="1"/>
  <c r="Q44" i="1"/>
  <c r="P44" i="1"/>
  <c r="O44" i="1"/>
  <c r="K44" i="1" a="1"/>
  <c r="K44" i="1" s="1"/>
  <c r="L44" i="1" s="1" a="1"/>
  <c r="L44" i="1" s="1"/>
  <c r="I44" i="1"/>
  <c r="J44" i="1" s="1"/>
  <c r="H44" i="1"/>
  <c r="Y44" i="1" s="1"/>
  <c r="G44" i="1"/>
  <c r="X44" i="1" s="1"/>
  <c r="F44" i="1"/>
  <c r="R44" i="1" s="1"/>
  <c r="E44" i="1"/>
  <c r="D44" i="1"/>
  <c r="V44" i="1" s="1"/>
  <c r="V43" i="1"/>
  <c r="U43" i="1"/>
  <c r="T43" i="1"/>
  <c r="S43" i="1"/>
  <c r="R43" i="1"/>
  <c r="N43" i="1"/>
  <c r="K43" i="1" a="1"/>
  <c r="K43" i="1" s="1"/>
  <c r="L43" i="1" s="1" a="1"/>
  <c r="L43" i="1" s="1"/>
  <c r="I43" i="1"/>
  <c r="J43" i="1" s="1"/>
  <c r="H43" i="1"/>
  <c r="O43" i="1" s="1"/>
  <c r="G43" i="1"/>
  <c r="X43" i="1" s="1"/>
  <c r="F43" i="1"/>
  <c r="E43" i="1"/>
  <c r="Q43" i="1" s="1"/>
  <c r="D43" i="1"/>
  <c r="P43" i="1" s="1"/>
  <c r="X42" i="1"/>
  <c r="W42" i="1"/>
  <c r="T42" i="1"/>
  <c r="R42" i="1"/>
  <c r="Q42" i="1"/>
  <c r="S42" i="1" s="1"/>
  <c r="P42" i="1"/>
  <c r="O42" i="1"/>
  <c r="N42" i="1"/>
  <c r="M42" i="1"/>
  <c r="K42" i="1" a="1"/>
  <c r="K42" i="1" s="1"/>
  <c r="L42" i="1" s="1" a="1"/>
  <c r="L42" i="1" s="1"/>
  <c r="I42" i="1"/>
  <c r="J42" i="1" s="1"/>
  <c r="H42" i="1"/>
  <c r="AB42" i="1" s="1"/>
  <c r="G42" i="1"/>
  <c r="F42" i="1"/>
  <c r="E42" i="1"/>
  <c r="D42" i="1"/>
  <c r="AB41" i="1"/>
  <c r="Y41" i="1"/>
  <c r="X41" i="1"/>
  <c r="W41" i="1"/>
  <c r="V41" i="1"/>
  <c r="U41" i="1"/>
  <c r="T41" i="1"/>
  <c r="R41" i="1"/>
  <c r="Q41" i="1"/>
  <c r="S41" i="1" s="1"/>
  <c r="P41" i="1"/>
  <c r="O41" i="1"/>
  <c r="N41" i="1"/>
  <c r="M41" i="1"/>
  <c r="I41" i="1"/>
  <c r="J41" i="1" s="1"/>
  <c r="H41" i="1"/>
  <c r="G41" i="1"/>
  <c r="F41" i="1"/>
  <c r="E41" i="1"/>
  <c r="D41" i="1"/>
  <c r="K41" i="1" s="1" a="1"/>
  <c r="K41" i="1" s="1"/>
  <c r="L41" i="1" s="1" a="1"/>
  <c r="L41" i="1" s="1"/>
  <c r="AB40" i="1"/>
  <c r="AA40" i="1"/>
  <c r="Z40" i="1"/>
  <c r="Y40" i="1"/>
  <c r="W40" i="1"/>
  <c r="V40" i="1"/>
  <c r="U40" i="1"/>
  <c r="T40" i="1"/>
  <c r="R40" i="1"/>
  <c r="Q40" i="1"/>
  <c r="S40" i="1" s="1"/>
  <c r="O40" i="1"/>
  <c r="I40" i="1"/>
  <c r="J40" i="1" s="1"/>
  <c r="H40" i="1"/>
  <c r="G40" i="1"/>
  <c r="M40" i="1" s="1"/>
  <c r="F40" i="1"/>
  <c r="E40" i="1"/>
  <c r="D40" i="1"/>
  <c r="K40" i="1" s="1" a="1"/>
  <c r="K40" i="1" s="1"/>
  <c r="L40" i="1" s="1" a="1"/>
  <c r="L40" i="1" s="1"/>
  <c r="AB39" i="1"/>
  <c r="Y39" i="1"/>
  <c r="X39" i="1"/>
  <c r="W39" i="1"/>
  <c r="V39" i="1"/>
  <c r="U39" i="1"/>
  <c r="T39" i="1"/>
  <c r="Q39" i="1"/>
  <c r="I39" i="1"/>
  <c r="J39" i="1" s="1"/>
  <c r="H39" i="1"/>
  <c r="O39" i="1" s="1"/>
  <c r="G39" i="1"/>
  <c r="N39" i="1" s="1"/>
  <c r="F39" i="1"/>
  <c r="R39" i="1" s="1"/>
  <c r="E39" i="1"/>
  <c r="D39" i="1"/>
  <c r="P39" i="1" s="1"/>
  <c r="AB38" i="1"/>
  <c r="AA38" i="1"/>
  <c r="Z38" i="1"/>
  <c r="Y38" i="1"/>
  <c r="X38" i="1"/>
  <c r="W38" i="1"/>
  <c r="I38" i="1"/>
  <c r="J38" i="1" s="1"/>
  <c r="H38" i="1"/>
  <c r="O38" i="1" s="1"/>
  <c r="G38" i="1"/>
  <c r="N38" i="1" s="1"/>
  <c r="F38" i="1"/>
  <c r="R38" i="1" s="1"/>
  <c r="E38" i="1"/>
  <c r="Q38" i="1" s="1"/>
  <c r="S38" i="1" s="1"/>
  <c r="D38" i="1"/>
  <c r="T38" i="1" s="1"/>
  <c r="Z37" i="1"/>
  <c r="V37" i="1"/>
  <c r="U37" i="1"/>
  <c r="T37" i="1"/>
  <c r="Q37" i="1"/>
  <c r="P37" i="1"/>
  <c r="K37" i="1"/>
  <c r="L37" i="1" s="1" a="1"/>
  <c r="L37" i="1" s="1"/>
  <c r="K37" i="1" a="1"/>
  <c r="I37" i="1"/>
  <c r="J37" i="1" s="1"/>
  <c r="H37" i="1"/>
  <c r="Y37" i="1" s="1"/>
  <c r="G37" i="1"/>
  <c r="X37" i="1" s="1"/>
  <c r="F37" i="1"/>
  <c r="R37" i="1" s="1"/>
  <c r="S37" i="1" s="1"/>
  <c r="E37" i="1"/>
  <c r="D37" i="1"/>
  <c r="U36" i="1"/>
  <c r="T36" i="1"/>
  <c r="R36" i="1"/>
  <c r="Q36" i="1"/>
  <c r="S36" i="1" s="1"/>
  <c r="P36" i="1"/>
  <c r="N36" i="1"/>
  <c r="M36" i="1"/>
  <c r="K36" i="1"/>
  <c r="L36" i="1" s="1" a="1"/>
  <c r="L36" i="1" s="1"/>
  <c r="K36" i="1" a="1"/>
  <c r="I36" i="1"/>
  <c r="H36" i="1"/>
  <c r="Y36" i="1" s="1"/>
  <c r="G36" i="1"/>
  <c r="X36" i="1" s="1"/>
  <c r="F36" i="1"/>
  <c r="E36" i="1"/>
  <c r="D36" i="1"/>
  <c r="V36" i="1" s="1"/>
  <c r="X35" i="1"/>
  <c r="W35" i="1"/>
  <c r="V35" i="1"/>
  <c r="U35" i="1"/>
  <c r="T35" i="1"/>
  <c r="S35" i="1"/>
  <c r="R35" i="1"/>
  <c r="Q35" i="1"/>
  <c r="P35" i="1"/>
  <c r="O35" i="1"/>
  <c r="N35" i="1"/>
  <c r="K35" i="1" a="1"/>
  <c r="K35" i="1" s="1"/>
  <c r="L35" i="1" s="1" a="1"/>
  <c r="L35" i="1" s="1"/>
  <c r="I35" i="1"/>
  <c r="J35" i="1" s="1"/>
  <c r="H35" i="1"/>
  <c r="AB35" i="1" s="1"/>
  <c r="G35" i="1"/>
  <c r="M35" i="1" s="1"/>
  <c r="F35" i="1"/>
  <c r="E35" i="1"/>
  <c r="D35" i="1"/>
  <c r="AB34" i="1"/>
  <c r="AA34" i="1"/>
  <c r="Z34" i="1"/>
  <c r="Y34" i="1"/>
  <c r="X34" i="1"/>
  <c r="W34" i="1"/>
  <c r="V34" i="1"/>
  <c r="T34" i="1"/>
  <c r="S34" i="1"/>
  <c r="P34" i="1"/>
  <c r="O34" i="1"/>
  <c r="N34" i="1"/>
  <c r="M34" i="1"/>
  <c r="I34" i="1"/>
  <c r="J34" i="1" s="1"/>
  <c r="H34" i="1"/>
  <c r="G34" i="1"/>
  <c r="F34" i="1"/>
  <c r="R34" i="1" s="1"/>
  <c r="E34" i="1"/>
  <c r="Q34" i="1" s="1"/>
  <c r="D34" i="1"/>
  <c r="U34" i="1" s="1"/>
  <c r="AB33" i="1"/>
  <c r="AA33" i="1"/>
  <c r="Z33" i="1"/>
  <c r="Y33" i="1"/>
  <c r="U33" i="1"/>
  <c r="T33" i="1"/>
  <c r="R33" i="1"/>
  <c r="S33" i="1" s="1"/>
  <c r="Q33" i="1"/>
  <c r="P33" i="1"/>
  <c r="O33" i="1"/>
  <c r="M33" i="1"/>
  <c r="I33" i="1"/>
  <c r="J33" i="1" s="1"/>
  <c r="H33" i="1"/>
  <c r="G33" i="1"/>
  <c r="W33" i="1" s="1"/>
  <c r="F33" i="1"/>
  <c r="E33" i="1"/>
  <c r="D33" i="1"/>
  <c r="V33" i="1" s="1"/>
  <c r="AA32" i="1"/>
  <c r="Z32" i="1"/>
  <c r="Y32" i="1"/>
  <c r="X32" i="1"/>
  <c r="W32" i="1"/>
  <c r="V32" i="1"/>
  <c r="O32" i="1"/>
  <c r="N32" i="1"/>
  <c r="M32" i="1"/>
  <c r="I32" i="1"/>
  <c r="J32" i="1" s="1"/>
  <c r="H32" i="1"/>
  <c r="AB32" i="1" s="1"/>
  <c r="G32" i="1"/>
  <c r="F32" i="1"/>
  <c r="R32" i="1" s="1"/>
  <c r="E32" i="1"/>
  <c r="Q32" i="1" s="1"/>
  <c r="S32" i="1" s="1"/>
  <c r="D32" i="1"/>
  <c r="K32" i="1" s="1" a="1"/>
  <c r="K32" i="1" s="1"/>
  <c r="L32" i="1" s="1" a="1"/>
  <c r="L32" i="1" s="1"/>
  <c r="AB31" i="1"/>
  <c r="AA31" i="1"/>
  <c r="Z31" i="1"/>
  <c r="Y31" i="1"/>
  <c r="X31" i="1"/>
  <c r="J31" i="1"/>
  <c r="I31" i="1"/>
  <c r="H31" i="1"/>
  <c r="O31" i="1" s="1"/>
  <c r="G31" i="1"/>
  <c r="N31" i="1" s="1"/>
  <c r="F31" i="1"/>
  <c r="R31" i="1" s="1"/>
  <c r="E31" i="1"/>
  <c r="Q31" i="1" s="1"/>
  <c r="S31" i="1" s="1"/>
  <c r="D31" i="1"/>
  <c r="T31" i="1" s="1"/>
  <c r="AA30" i="1"/>
  <c r="K30" i="1" a="1"/>
  <c r="K30" i="1" s="1"/>
  <c r="L30" i="1" s="1" a="1"/>
  <c r="L30" i="1" s="1"/>
  <c r="I30" i="1"/>
  <c r="J30" i="1" s="1"/>
  <c r="H30" i="1"/>
  <c r="O30" i="1" s="1"/>
  <c r="G30" i="1"/>
  <c r="W30" i="1" s="1"/>
  <c r="F30" i="1"/>
  <c r="R30" i="1" s="1"/>
  <c r="E30" i="1"/>
  <c r="Q30" i="1" s="1"/>
  <c r="S30" i="1" s="1"/>
  <c r="D30" i="1"/>
  <c r="P30" i="1" s="1"/>
  <c r="V29" i="1"/>
  <c r="Q29" i="1"/>
  <c r="P29" i="1"/>
  <c r="N29" i="1"/>
  <c r="M29" i="1"/>
  <c r="K29" i="1" a="1"/>
  <c r="K29" i="1" s="1"/>
  <c r="L29" i="1" s="1" a="1"/>
  <c r="L29" i="1" s="1"/>
  <c r="I29" i="1"/>
  <c r="J29" i="1" s="1"/>
  <c r="H29" i="1"/>
  <c r="Z29" i="1" s="1"/>
  <c r="G29" i="1"/>
  <c r="X29" i="1" s="1"/>
  <c r="F29" i="1"/>
  <c r="R29" i="1" s="1"/>
  <c r="E29" i="1"/>
  <c r="D29" i="1"/>
  <c r="W28" i="1"/>
  <c r="V28" i="1"/>
  <c r="U28" i="1"/>
  <c r="T28" i="1"/>
  <c r="R28" i="1"/>
  <c r="Q28" i="1"/>
  <c r="S28" i="1" s="1"/>
  <c r="P28" i="1"/>
  <c r="O28" i="1"/>
  <c r="N28" i="1"/>
  <c r="M28" i="1"/>
  <c r="K28" i="1" a="1"/>
  <c r="K28" i="1" s="1"/>
  <c r="L28" i="1" s="1" a="1"/>
  <c r="L28" i="1" s="1"/>
  <c r="I28" i="1"/>
  <c r="J28" i="1" s="1"/>
  <c r="H28" i="1"/>
  <c r="G28" i="1"/>
  <c r="X28" i="1" s="1"/>
  <c r="F28" i="1"/>
  <c r="E28" i="1"/>
  <c r="D28" i="1"/>
  <c r="AB27" i="1"/>
  <c r="AA27" i="1"/>
  <c r="Z27" i="1"/>
  <c r="Y27" i="1"/>
  <c r="X27" i="1"/>
  <c r="W27" i="1"/>
  <c r="V27" i="1"/>
  <c r="U27" i="1"/>
  <c r="T27" i="1"/>
  <c r="R27" i="1"/>
  <c r="Q27" i="1"/>
  <c r="S27" i="1" s="1"/>
  <c r="P27" i="1"/>
  <c r="O27" i="1"/>
  <c r="N27" i="1"/>
  <c r="M27" i="1"/>
  <c r="I27" i="1"/>
  <c r="H27" i="1"/>
  <c r="G27" i="1"/>
  <c r="F27" i="1"/>
  <c r="E27" i="1"/>
  <c r="D27" i="1"/>
  <c r="K27" i="1" s="1" a="1"/>
  <c r="K27" i="1" s="1"/>
  <c r="L27" i="1" s="1" a="1"/>
  <c r="L27" i="1" s="1"/>
  <c r="AB26" i="1"/>
  <c r="AA26" i="1"/>
  <c r="Z26" i="1"/>
  <c r="Y26" i="1"/>
  <c r="X26" i="1"/>
  <c r="W26" i="1"/>
  <c r="V26" i="1"/>
  <c r="U26" i="1"/>
  <c r="T26" i="1"/>
  <c r="R26" i="1"/>
  <c r="Q26" i="1"/>
  <c r="S26" i="1" s="1"/>
  <c r="O26" i="1"/>
  <c r="I26" i="1"/>
  <c r="J26" i="1" s="1"/>
  <c r="H26" i="1"/>
  <c r="G26" i="1"/>
  <c r="F26" i="1"/>
  <c r="E26" i="1"/>
  <c r="D26" i="1"/>
  <c r="K26" i="1" s="1" a="1"/>
  <c r="K26" i="1" s="1"/>
  <c r="L26" i="1" s="1" a="1"/>
  <c r="L26" i="1" s="1"/>
  <c r="AB25" i="1"/>
  <c r="Y25" i="1"/>
  <c r="X25" i="1"/>
  <c r="W25" i="1"/>
  <c r="V25" i="1"/>
  <c r="U25" i="1"/>
  <c r="T25" i="1"/>
  <c r="I25" i="1"/>
  <c r="J25" i="1" s="1"/>
  <c r="H25" i="1"/>
  <c r="AA25" i="1" s="1"/>
  <c r="G25" i="1"/>
  <c r="N25" i="1" s="1"/>
  <c r="F25" i="1"/>
  <c r="R25" i="1" s="1"/>
  <c r="E25" i="1"/>
  <c r="Q25" i="1" s="1"/>
  <c r="S25" i="1" s="1"/>
  <c r="D25" i="1"/>
  <c r="K25" i="1" s="1" a="1"/>
  <c r="K25" i="1" s="1"/>
  <c r="L25" i="1" s="1" a="1"/>
  <c r="L25" i="1" s="1"/>
  <c r="AB24" i="1"/>
  <c r="AA24" i="1"/>
  <c r="Z24" i="1"/>
  <c r="Y24" i="1"/>
  <c r="V24" i="1"/>
  <c r="U24" i="1"/>
  <c r="T24" i="1"/>
  <c r="P24" i="1"/>
  <c r="K24" i="1" a="1"/>
  <c r="K24" i="1" s="1"/>
  <c r="L24" i="1" s="1" a="1"/>
  <c r="L24" i="1" s="1"/>
  <c r="I24" i="1"/>
  <c r="J24" i="1" s="1"/>
  <c r="H24" i="1"/>
  <c r="O24" i="1" s="1"/>
  <c r="G24" i="1"/>
  <c r="F24" i="1"/>
  <c r="R24" i="1" s="1"/>
  <c r="E24" i="1"/>
  <c r="Q24" i="1" s="1"/>
  <c r="D24" i="1"/>
  <c r="AA23" i="1"/>
  <c r="Z23" i="1"/>
  <c r="Y23" i="1"/>
  <c r="V23" i="1"/>
  <c r="O23" i="1"/>
  <c r="K23" i="1" a="1"/>
  <c r="K23" i="1" s="1"/>
  <c r="L23" i="1" s="1" a="1"/>
  <c r="L23" i="1" s="1"/>
  <c r="J23" i="1"/>
  <c r="I23" i="1"/>
  <c r="H23" i="1"/>
  <c r="AB23" i="1" s="1"/>
  <c r="G23" i="1"/>
  <c r="N23" i="1" s="1"/>
  <c r="F23" i="1"/>
  <c r="R23" i="1" s="1"/>
  <c r="E23" i="1"/>
  <c r="Q23" i="1" s="1"/>
  <c r="S23" i="1" s="1"/>
  <c r="D23" i="1"/>
  <c r="U23" i="1" s="1"/>
  <c r="V22" i="1"/>
  <c r="U22" i="1"/>
  <c r="T22" i="1"/>
  <c r="R22" i="1"/>
  <c r="Q22" i="1"/>
  <c r="S22" i="1" s="1"/>
  <c r="P22" i="1"/>
  <c r="N22" i="1"/>
  <c r="M22" i="1"/>
  <c r="K22" i="1" a="1"/>
  <c r="K22" i="1" s="1"/>
  <c r="L22" i="1" s="1" a="1"/>
  <c r="L22" i="1" s="1"/>
  <c r="J22" i="1"/>
  <c r="I22" i="1"/>
  <c r="H22" i="1"/>
  <c r="Z22" i="1" s="1"/>
  <c r="G22" i="1"/>
  <c r="X22" i="1" s="1"/>
  <c r="F22" i="1"/>
  <c r="E22" i="1"/>
  <c r="D22" i="1"/>
  <c r="X21" i="1"/>
  <c r="W21" i="1"/>
  <c r="V21" i="1"/>
  <c r="U21" i="1"/>
  <c r="T21" i="1"/>
  <c r="S21" i="1"/>
  <c r="R21" i="1"/>
  <c r="O21" i="1"/>
  <c r="N21" i="1"/>
  <c r="M21" i="1"/>
  <c r="K21" i="1" a="1"/>
  <c r="K21" i="1" s="1"/>
  <c r="L21" i="1" s="1" a="1"/>
  <c r="L21" i="1" s="1"/>
  <c r="I21" i="1"/>
  <c r="J21" i="1" s="1"/>
  <c r="H21" i="1"/>
  <c r="AB21" i="1" s="1"/>
  <c r="G21" i="1"/>
  <c r="F21" i="1"/>
  <c r="E21" i="1"/>
  <c r="Q21" i="1" s="1"/>
  <c r="D21" i="1"/>
  <c r="P21" i="1" s="1"/>
  <c r="AB20" i="1"/>
  <c r="AA20" i="1"/>
  <c r="Z20" i="1"/>
  <c r="Y20" i="1"/>
  <c r="X20" i="1"/>
  <c r="W20" i="1"/>
  <c r="T20" i="1"/>
  <c r="R20" i="1"/>
  <c r="Q20" i="1"/>
  <c r="S20" i="1" s="1"/>
  <c r="P20" i="1"/>
  <c r="O20" i="1"/>
  <c r="N20" i="1"/>
  <c r="M20" i="1"/>
  <c r="I20" i="1"/>
  <c r="J20" i="1" s="1"/>
  <c r="H20" i="1"/>
  <c r="G20" i="1"/>
  <c r="F20" i="1"/>
  <c r="E20" i="1"/>
  <c r="D20" i="1"/>
  <c r="K20" i="1" s="1" a="1"/>
  <c r="K20" i="1" s="1"/>
  <c r="L20" i="1" s="1" a="1"/>
  <c r="L20" i="1" s="1"/>
  <c r="AB19" i="1"/>
  <c r="Y19" i="1"/>
  <c r="X19" i="1"/>
  <c r="W19" i="1"/>
  <c r="U19" i="1"/>
  <c r="T19" i="1"/>
  <c r="R19" i="1"/>
  <c r="S19" i="1" s="1"/>
  <c r="Q19" i="1"/>
  <c r="P19" i="1"/>
  <c r="O19" i="1"/>
  <c r="N19" i="1"/>
  <c r="M19" i="1"/>
  <c r="I19" i="1"/>
  <c r="J19" i="1" s="1"/>
  <c r="H19" i="1"/>
  <c r="G19" i="1"/>
  <c r="F19" i="1"/>
  <c r="E19" i="1"/>
  <c r="D19" i="1"/>
  <c r="K19" i="1" s="1" a="1"/>
  <c r="K19" i="1" s="1"/>
  <c r="L19" i="1" s="1" a="1"/>
  <c r="L19" i="1" s="1"/>
  <c r="AB18" i="1"/>
  <c r="Z18" i="1"/>
  <c r="Y18" i="1"/>
  <c r="X18" i="1"/>
  <c r="W18" i="1"/>
  <c r="V18" i="1"/>
  <c r="U18" i="1"/>
  <c r="T18" i="1"/>
  <c r="I18" i="1"/>
  <c r="J18" i="1" s="1"/>
  <c r="H18" i="1"/>
  <c r="O18" i="1" s="1"/>
  <c r="G18" i="1"/>
  <c r="N18" i="1" s="1"/>
  <c r="F18" i="1"/>
  <c r="R18" i="1" s="1"/>
  <c r="E18" i="1"/>
  <c r="Q18" i="1" s="1"/>
  <c r="S18" i="1" s="1"/>
  <c r="D18" i="1"/>
  <c r="K18" i="1" s="1" a="1"/>
  <c r="K18" i="1" s="1"/>
  <c r="L18" i="1" s="1" a="1"/>
  <c r="L18" i="1" s="1"/>
  <c r="AB17" i="1"/>
  <c r="AA17" i="1"/>
  <c r="Z17" i="1"/>
  <c r="Y17" i="1"/>
  <c r="X17" i="1"/>
  <c r="W17" i="1"/>
  <c r="I17" i="1"/>
  <c r="J17" i="1" s="1"/>
  <c r="H17" i="1"/>
  <c r="O17" i="1" s="1"/>
  <c r="G17" i="1"/>
  <c r="N17" i="1" s="1"/>
  <c r="F17" i="1"/>
  <c r="R17" i="1" s="1"/>
  <c r="E17" i="1"/>
  <c r="Q17" i="1" s="1"/>
  <c r="D17" i="1"/>
  <c r="P17" i="1" s="1"/>
  <c r="Z16" i="1"/>
  <c r="I16" i="1"/>
  <c r="J16" i="1" s="1"/>
  <c r="H16" i="1"/>
  <c r="O16" i="1" s="1"/>
  <c r="G16" i="1"/>
  <c r="N16" i="1" s="1"/>
  <c r="F16" i="1"/>
  <c r="R16" i="1" s="1"/>
  <c r="E16" i="1"/>
  <c r="Q16" i="1" s="1"/>
  <c r="S16" i="1" s="1"/>
  <c r="D16" i="1"/>
  <c r="T16" i="1" s="1"/>
  <c r="V15" i="1"/>
  <c r="U15" i="1"/>
  <c r="T15" i="1"/>
  <c r="Q15" i="1"/>
  <c r="P15" i="1"/>
  <c r="K15" i="1" a="1"/>
  <c r="K15" i="1" s="1"/>
  <c r="L15" i="1" s="1" a="1"/>
  <c r="L15" i="1" s="1"/>
  <c r="J15" i="1"/>
  <c r="I15" i="1"/>
  <c r="H15" i="1"/>
  <c r="Y15" i="1" s="1"/>
  <c r="G15" i="1"/>
  <c r="X15" i="1" s="1"/>
  <c r="F15" i="1"/>
  <c r="R15" i="1" s="1"/>
  <c r="E15" i="1"/>
  <c r="D15" i="1"/>
  <c r="W14" i="1"/>
  <c r="V14" i="1"/>
  <c r="U14" i="1"/>
  <c r="T14" i="1"/>
  <c r="R14" i="1"/>
  <c r="S14" i="1" s="1"/>
  <c r="Q14" i="1"/>
  <c r="P14" i="1"/>
  <c r="O14" i="1"/>
  <c r="N14" i="1"/>
  <c r="M14" i="1"/>
  <c r="K14" i="1"/>
  <c r="L14" i="1" s="1" a="1"/>
  <c r="L14" i="1" s="1"/>
  <c r="K14" i="1" a="1"/>
  <c r="I14" i="1"/>
  <c r="H14" i="1"/>
  <c r="AB14" i="1" s="1"/>
  <c r="G14" i="1"/>
  <c r="X14" i="1" s="1"/>
  <c r="F14" i="1"/>
  <c r="E14" i="1"/>
  <c r="D14" i="1"/>
  <c r="AB13" i="1"/>
  <c r="AA13" i="1"/>
  <c r="Z13" i="1"/>
  <c r="Y13" i="1"/>
  <c r="X13" i="1"/>
  <c r="W13" i="1"/>
  <c r="V13" i="1"/>
  <c r="U13" i="1"/>
  <c r="T13" i="1"/>
  <c r="R13" i="1"/>
  <c r="Q13" i="1"/>
  <c r="S13" i="1" s="1"/>
  <c r="P13" i="1"/>
  <c r="O13" i="1"/>
  <c r="N13" i="1"/>
  <c r="I13" i="1"/>
  <c r="J13" i="1" s="1"/>
  <c r="H13" i="1"/>
  <c r="G13" i="1"/>
  <c r="M13" i="1" s="1"/>
  <c r="F13" i="1"/>
  <c r="E13" i="1"/>
  <c r="D13" i="1"/>
  <c r="K13" i="1" s="1" a="1"/>
  <c r="K13" i="1" s="1"/>
  <c r="L13" i="1" s="1" a="1"/>
  <c r="L13" i="1" s="1"/>
  <c r="AB12" i="1"/>
  <c r="AA12" i="1"/>
  <c r="Z12" i="1"/>
  <c r="Y12" i="1"/>
  <c r="X12" i="1"/>
  <c r="W12" i="1"/>
  <c r="V12" i="1"/>
  <c r="U12" i="1"/>
  <c r="T12" i="1"/>
  <c r="S12" i="1"/>
  <c r="P12" i="1"/>
  <c r="O12" i="1"/>
  <c r="M12" i="1"/>
  <c r="I12" i="1"/>
  <c r="J12" i="1" s="1"/>
  <c r="H12" i="1"/>
  <c r="G12" i="1"/>
  <c r="N12" i="1" s="1"/>
  <c r="F12" i="1"/>
  <c r="R12" i="1" s="1"/>
  <c r="E12" i="1"/>
  <c r="Q12" i="1" s="1"/>
  <c r="D12" i="1"/>
  <c r="K12" i="1" s="1" a="1"/>
  <c r="K12" i="1" s="1"/>
  <c r="L12" i="1" s="1" a="1"/>
  <c r="L12" i="1" s="1"/>
  <c r="AB11" i="1"/>
  <c r="Z11" i="1"/>
  <c r="Y11" i="1"/>
  <c r="X11" i="1"/>
  <c r="U11" i="1"/>
  <c r="T11" i="1"/>
  <c r="R11" i="1"/>
  <c r="I11" i="1"/>
  <c r="J11" i="1" s="1"/>
  <c r="H11" i="1"/>
  <c r="AA11" i="1" s="1"/>
  <c r="G11" i="1"/>
  <c r="W11" i="1" s="1"/>
  <c r="F11" i="1"/>
  <c r="E11" i="1"/>
  <c r="Q11" i="1" s="1"/>
  <c r="S11" i="1" s="1"/>
  <c r="D11" i="1"/>
  <c r="V11" i="1" s="1"/>
  <c r="AA10" i="1"/>
  <c r="Z10" i="1"/>
  <c r="Y10" i="1"/>
  <c r="X10" i="1"/>
  <c r="W10" i="1"/>
  <c r="V10" i="1"/>
  <c r="O10" i="1"/>
  <c r="N10" i="1"/>
  <c r="M10" i="1"/>
  <c r="J10" i="1"/>
  <c r="I10" i="1"/>
  <c r="H10" i="1"/>
  <c r="AB10" i="1" s="1"/>
  <c r="G10" i="1"/>
  <c r="F10" i="1"/>
  <c r="R10" i="1" s="1"/>
  <c r="E10" i="1"/>
  <c r="Q10" i="1" s="1"/>
  <c r="D10" i="1"/>
  <c r="P10" i="1" s="1"/>
  <c r="AA9" i="1"/>
  <c r="P9" i="1"/>
  <c r="K9" i="1" a="1"/>
  <c r="K9" i="1" s="1"/>
  <c r="I9" i="1"/>
  <c r="J9" i="1" s="1"/>
  <c r="H9" i="1"/>
  <c r="O9" i="1" s="1"/>
  <c r="G9" i="1"/>
  <c r="W9" i="1" s="1"/>
  <c r="F9" i="1"/>
  <c r="R9" i="1" s="1"/>
  <c r="E9" i="1"/>
  <c r="Q9" i="1" s="1"/>
  <c r="S9" i="1" s="1"/>
  <c r="D9" i="1"/>
  <c r="V9" i="1" s="1"/>
  <c r="T8" i="1"/>
  <c r="R8" i="1"/>
  <c r="Q8" i="1"/>
  <c r="S8" i="1" s="1"/>
  <c r="N8" i="1"/>
  <c r="M8" i="1"/>
  <c r="K8" i="1" a="1"/>
  <c r="K8" i="1" s="1"/>
  <c r="L8" i="1" s="1" a="1"/>
  <c r="L8" i="1" s="1"/>
  <c r="I8" i="1"/>
  <c r="H8" i="1"/>
  <c r="O8" i="1" s="1"/>
  <c r="G8" i="1"/>
  <c r="X8" i="1" s="1"/>
  <c r="F8" i="1"/>
  <c r="E8" i="1"/>
  <c r="D8" i="1"/>
  <c r="P8" i="1" s="1"/>
  <c r="W7" i="1"/>
  <c r="V7" i="1"/>
  <c r="R7" i="1"/>
  <c r="Q7" i="1"/>
  <c r="S7" i="1" s="1"/>
  <c r="P7" i="1"/>
  <c r="O7" i="1"/>
  <c r="N7" i="1"/>
  <c r="M7" i="1"/>
  <c r="K7" i="1" a="1"/>
  <c r="K7" i="1" s="1"/>
  <c r="L7" i="1" s="1" a="1"/>
  <c r="L7" i="1" s="1"/>
  <c r="I7" i="1"/>
  <c r="J6" i="1" s="1"/>
  <c r="H7" i="1"/>
  <c r="AB7" i="1" s="1"/>
  <c r="G7" i="1"/>
  <c r="X7" i="1" s="1"/>
  <c r="F7" i="1"/>
  <c r="E7" i="1"/>
  <c r="D7" i="1"/>
  <c r="AB6" i="1"/>
  <c r="AA6" i="1"/>
  <c r="X6" i="1"/>
  <c r="W6" i="1"/>
  <c r="V6" i="1"/>
  <c r="U6" i="1"/>
  <c r="T6" i="1"/>
  <c r="R6" i="1"/>
  <c r="Q6" i="1"/>
  <c r="S6" i="1" s="1"/>
  <c r="P6" i="1"/>
  <c r="O6" i="1"/>
  <c r="N6" i="1"/>
  <c r="M6" i="1"/>
  <c r="K6" i="1" a="1"/>
  <c r="K6" i="1" s="1"/>
  <c r="L6" i="1" s="1" a="1"/>
  <c r="L6" i="1" s="1"/>
  <c r="I6" i="1"/>
  <c r="H6" i="1"/>
  <c r="G6" i="1"/>
  <c r="F6" i="1"/>
  <c r="E6" i="1"/>
  <c r="D6" i="1"/>
  <c r="AB5" i="1"/>
  <c r="AA5" i="1"/>
  <c r="Z5" i="1"/>
  <c r="Y5" i="1"/>
  <c r="X5" i="1"/>
  <c r="W5" i="1"/>
  <c r="V5" i="1"/>
  <c r="U5" i="1"/>
  <c r="T5" i="1"/>
  <c r="R5" i="1"/>
  <c r="Q5" i="1"/>
  <c r="S5" i="1" s="1"/>
  <c r="O5" i="1"/>
  <c r="N5" i="1"/>
  <c r="I5" i="1"/>
  <c r="H5" i="1"/>
  <c r="G5" i="1"/>
  <c r="M5" i="1" s="1"/>
  <c r="F5" i="1"/>
  <c r="E5" i="1"/>
  <c r="D5" i="1"/>
  <c r="K5" i="1" s="1" a="1"/>
  <c r="K5" i="1" s="1"/>
  <c r="L5" i="1" s="1" a="1"/>
  <c r="L5" i="1" s="1"/>
  <c r="AB4" i="1"/>
  <c r="Z4" i="1"/>
  <c r="Y4" i="1"/>
  <c r="X4" i="1"/>
  <c r="W4" i="1"/>
  <c r="V4" i="1"/>
  <c r="U4" i="1"/>
  <c r="T4" i="1"/>
  <c r="Q4" i="1"/>
  <c r="I4" i="1"/>
  <c r="J4" i="1" s="1"/>
  <c r="H4" i="1"/>
  <c r="O4" i="1" s="1"/>
  <c r="G4" i="1"/>
  <c r="F4" i="1"/>
  <c r="R4" i="1" s="1"/>
  <c r="E4" i="1"/>
  <c r="D4" i="1"/>
  <c r="P4" i="1" s="1"/>
  <c r="AB3" i="1"/>
  <c r="AA3" i="1"/>
  <c r="Z3" i="1"/>
  <c r="Y3" i="1"/>
  <c r="X3" i="1"/>
  <c r="W3" i="1"/>
  <c r="I3" i="1"/>
  <c r="J3" i="1" s="1"/>
  <c r="H3" i="1"/>
  <c r="O3" i="1" s="1"/>
  <c r="G3" i="1"/>
  <c r="N3" i="1" s="1"/>
  <c r="F3" i="1"/>
  <c r="R3" i="1" s="1"/>
  <c r="E3" i="1"/>
  <c r="Q3" i="1" s="1"/>
  <c r="S3" i="1" s="1"/>
  <c r="D3" i="1"/>
  <c r="P3" i="1" s="1"/>
  <c r="Z2" i="1"/>
  <c r="V2" i="1"/>
  <c r="U2" i="1"/>
  <c r="T2" i="1"/>
  <c r="P2" i="1"/>
  <c r="K2" i="1"/>
  <c r="L2" i="1" s="1" a="1"/>
  <c r="L2" i="1" s="1"/>
  <c r="K2" i="1" a="1"/>
  <c r="I2" i="1"/>
  <c r="J2" i="1" s="1"/>
  <c r="H2" i="1"/>
  <c r="O2" i="1" s="1"/>
  <c r="G2" i="1"/>
  <c r="F2" i="1"/>
  <c r="R2" i="1" s="1"/>
  <c r="E2" i="1"/>
  <c r="Q2" i="1" s="1"/>
  <c r="S2" i="1" s="1"/>
  <c r="D2" i="1"/>
  <c r="S24" i="1" l="1"/>
  <c r="S17" i="1"/>
  <c r="S10" i="1"/>
  <c r="S29" i="1"/>
  <c r="S44" i="1"/>
  <c r="S15" i="1"/>
  <c r="S39" i="1"/>
  <c r="S4" i="1"/>
  <c r="AA8" i="1"/>
  <c r="X9" i="1"/>
  <c r="O11" i="1"/>
  <c r="Z15" i="1"/>
  <c r="W16" i="1"/>
  <c r="T17" i="1"/>
  <c r="AA22" i="1"/>
  <c r="O25" i="1"/>
  <c r="Z28" i="1"/>
  <c r="Y28" i="1"/>
  <c r="AA29" i="1"/>
  <c r="X30" i="1"/>
  <c r="U31" i="1"/>
  <c r="P32" i="1"/>
  <c r="K34" i="1" a="1"/>
  <c r="K34" i="1" s="1"/>
  <c r="L34" i="1" s="1" a="1"/>
  <c r="L34" i="1" s="1"/>
  <c r="Z36" i="1"/>
  <c r="N40" i="1"/>
  <c r="AB43" i="1"/>
  <c r="Z44" i="1"/>
  <c r="U45" i="1"/>
  <c r="U3" i="1"/>
  <c r="Y9" i="1"/>
  <c r="T10" i="1"/>
  <c r="P11" i="1"/>
  <c r="J14" i="1"/>
  <c r="AA15" i="1"/>
  <c r="X16" i="1"/>
  <c r="U17" i="1"/>
  <c r="AB22" i="1"/>
  <c r="W23" i="1"/>
  <c r="P25" i="1"/>
  <c r="AB29" i="1"/>
  <c r="Y30" i="1"/>
  <c r="V31" i="1"/>
  <c r="AA36" i="1"/>
  <c r="U38" i="1"/>
  <c r="AA44" i="1"/>
  <c r="V45" i="1"/>
  <c r="O15" i="1"/>
  <c r="T3" i="1"/>
  <c r="AB8" i="1"/>
  <c r="Y2" i="1"/>
  <c r="V3" i="1"/>
  <c r="P5" i="1"/>
  <c r="J7" i="1"/>
  <c r="Z9" i="1"/>
  <c r="U10" i="1"/>
  <c r="AB15" i="1"/>
  <c r="Y16" i="1"/>
  <c r="V17" i="1"/>
  <c r="X23" i="1"/>
  <c r="P26" i="1"/>
  <c r="Z30" i="1"/>
  <c r="W31" i="1"/>
  <c r="N33" i="1"/>
  <c r="AB36" i="1"/>
  <c r="W37" i="1"/>
  <c r="V38" i="1"/>
  <c r="P40" i="1"/>
  <c r="AB44" i="1"/>
  <c r="AA2" i="1"/>
  <c r="AB9" i="1"/>
  <c r="AA16" i="1"/>
  <c r="AB30" i="1"/>
  <c r="T32" i="1"/>
  <c r="J36" i="1"/>
  <c r="AA37" i="1"/>
  <c r="AB2" i="1"/>
  <c r="J8" i="1"/>
  <c r="AB16" i="1"/>
  <c r="U32" i="1"/>
  <c r="AB37" i="1"/>
  <c r="X24" i="1"/>
  <c r="W24" i="1"/>
  <c r="Z25" i="1"/>
  <c r="Z39" i="1"/>
  <c r="M44" i="1"/>
  <c r="L9" i="1" a="1"/>
  <c r="L9" i="1" s="1"/>
  <c r="AA4" i="1"/>
  <c r="K16" i="1" a="1"/>
  <c r="K16" i="1" s="1"/>
  <c r="L16" i="1" s="1" a="1"/>
  <c r="L16" i="1" s="1"/>
  <c r="AA18" i="1"/>
  <c r="V19" i="1"/>
  <c r="O22" i="1"/>
  <c r="X33" i="1"/>
  <c r="AA39" i="1"/>
  <c r="X40" i="1"/>
  <c r="M43" i="1"/>
  <c r="N44" i="1"/>
  <c r="K45" i="1" a="1"/>
  <c r="K45" i="1" s="1"/>
  <c r="L45" i="1" s="1" a="1"/>
  <c r="L45" i="1" s="1"/>
  <c r="N4" i="1"/>
  <c r="M4" i="1"/>
  <c r="N9" i="1"/>
  <c r="K10" i="1" a="1"/>
  <c r="K10" i="1" s="1"/>
  <c r="L10" i="1" s="1" a="1"/>
  <c r="L10" i="1" s="1"/>
  <c r="N15" i="1"/>
  <c r="O29" i="1"/>
  <c r="K31" i="1" a="1"/>
  <c r="K31" i="1" s="1"/>
  <c r="L31" i="1" s="1" a="1"/>
  <c r="L31" i="1" s="1"/>
  <c r="M9" i="1"/>
  <c r="X2" i="1"/>
  <c r="W2" i="1"/>
  <c r="K17" i="1" a="1"/>
  <c r="K17" i="1" s="1"/>
  <c r="L17" i="1" s="1" a="1"/>
  <c r="L17" i="1" s="1"/>
  <c r="M23" i="1"/>
  <c r="M2" i="1"/>
  <c r="M16" i="1"/>
  <c r="M31" i="1"/>
  <c r="N37" i="1"/>
  <c r="K4" i="1" a="1"/>
  <c r="K4" i="1" s="1"/>
  <c r="L4" i="1" s="1" a="1"/>
  <c r="L4" i="1" s="1"/>
  <c r="U8" i="1"/>
  <c r="K11" i="1" a="1"/>
  <c r="K11" i="1" s="1"/>
  <c r="L11" i="1" s="1" a="1"/>
  <c r="L11" i="1" s="1"/>
  <c r="AA19" i="1"/>
  <c r="Z19" i="1"/>
  <c r="P23" i="1"/>
  <c r="O37" i="1"/>
  <c r="K39" i="1" a="1"/>
  <c r="K39" i="1" s="1"/>
  <c r="L39" i="1" s="1" a="1"/>
  <c r="L39" i="1" s="1"/>
  <c r="T44" i="1"/>
  <c r="M3" i="1"/>
  <c r="J5" i="1"/>
  <c r="Y7" i="1"/>
  <c r="V8" i="1"/>
  <c r="P16" i="1"/>
  <c r="M17" i="1"/>
  <c r="Y21" i="1"/>
  <c r="M24" i="1"/>
  <c r="P31" i="1"/>
  <c r="Y35" i="1"/>
  <c r="M38" i="1"/>
  <c r="Y42" i="1"/>
  <c r="W43" i="1"/>
  <c r="U44" i="1"/>
  <c r="P45" i="1"/>
  <c r="M30" i="1"/>
  <c r="U7" i="1"/>
  <c r="T7" i="1"/>
  <c r="Z7" i="1"/>
  <c r="W8" i="1"/>
  <c r="T9" i="1"/>
  <c r="Y14" i="1"/>
  <c r="M18" i="1"/>
  <c r="Z21" i="1"/>
  <c r="W22" i="1"/>
  <c r="N24" i="1"/>
  <c r="W29" i="1"/>
  <c r="T30" i="1"/>
  <c r="Z35" i="1"/>
  <c r="V42" i="1"/>
  <c r="U42" i="1"/>
  <c r="Z42" i="1"/>
  <c r="M15" i="1"/>
  <c r="O36" i="1"/>
  <c r="K3" i="1" a="1"/>
  <c r="K3" i="1" s="1"/>
  <c r="L3" i="1" s="1" a="1"/>
  <c r="L3" i="1" s="1"/>
  <c r="N30" i="1"/>
  <c r="M37" i="1"/>
  <c r="N2" i="1"/>
  <c r="V20" i="1"/>
  <c r="U20" i="1"/>
  <c r="Z6" i="1"/>
  <c r="Y6" i="1"/>
  <c r="AA7" i="1"/>
  <c r="U9" i="1"/>
  <c r="Z14" i="1"/>
  <c r="AA21" i="1"/>
  <c r="AA28" i="1"/>
  <c r="U30" i="1"/>
  <c r="K33" i="1" a="1"/>
  <c r="K33" i="1" s="1"/>
  <c r="L33" i="1" s="1" a="1"/>
  <c r="L33" i="1" s="1"/>
  <c r="AA35" i="1"/>
  <c r="W36" i="1"/>
  <c r="AA41" i="1"/>
  <c r="Z41" i="1"/>
  <c r="AA42" i="1"/>
  <c r="Y43" i="1"/>
  <c r="W44" i="1"/>
  <c r="K38" i="1" a="1"/>
  <c r="K38" i="1" s="1"/>
  <c r="L38" i="1" s="1" a="1"/>
  <c r="L38" i="1" s="1"/>
  <c r="N26" i="1"/>
  <c r="M26" i="1"/>
  <c r="Y8" i="1"/>
  <c r="M11" i="1"/>
  <c r="AA14" i="1"/>
  <c r="U16" i="1"/>
  <c r="Y22" i="1"/>
  <c r="T23" i="1"/>
  <c r="M25" i="1"/>
  <c r="J27" i="1"/>
  <c r="AB28" i="1"/>
  <c r="Y29" i="1"/>
  <c r="V30" i="1"/>
  <c r="P38" i="1"/>
  <c r="M39" i="1"/>
  <c r="Z43" i="1"/>
  <c r="Z8" i="1"/>
  <c r="N11" i="1"/>
  <c r="W15" i="1"/>
  <c r="V16" i="1"/>
  <c r="P18" i="1"/>
  <c r="U29" i="1"/>
  <c r="T29" i="1"/>
  <c r="AA43" i="1"/>
  <c r="M46" i="1"/>
  <c r="W46" i="1"/>
  <c r="Y46" i="1"/>
  <c r="Z46" i="1"/>
  <c r="AA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<sst xmlns="http://schemas.openxmlformats.org/spreadsheetml/2006/main" count="28" uniqueCount="28">
  <si>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ESN</t>
  </si>
  <si>
    <t>Payload</t>
  </si>
  <si>
    <t>Data Payload</t>
  </si>
  <si>
    <t>Byte0</t>
  </si>
  <si>
    <t>Byte1-3</t>
  </si>
  <si>
    <t>Byte4-6</t>
  </si>
  <si>
    <t>Byte7</t>
  </si>
  <si>
    <t>Byte8</t>
  </si>
  <si>
    <t>Data</t>
  </si>
  <si>
    <t>Interv.</t>
  </si>
  <si>
    <t>Tipo Msg</t>
  </si>
  <si>
    <t>Subtipo Msg</t>
  </si>
  <si>
    <t>Ignição</t>
  </si>
  <si>
    <t>Pânico</t>
  </si>
  <si>
    <t>Evento</t>
  </si>
  <si>
    <t>Pilhas</t>
  </si>
  <si>
    <t>Latitude</t>
  </si>
  <si>
    <t>Longitude</t>
  </si>
  <si>
    <t>Mapa</t>
  </si>
  <si>
    <t>GPS Valid</t>
  </si>
  <si>
    <t>Missed Input</t>
  </si>
  <si>
    <t>GPS Fail Counter</t>
  </si>
  <si>
    <t>In1 Trig</t>
  </si>
  <si>
    <t>In2 Trig</t>
  </si>
  <si>
    <t>Fix Conf</t>
  </si>
  <si>
    <t>2D</t>
  </si>
  <si>
    <t>Vibr Bit</t>
  </si>
  <si>
    <t>Vib Trig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</si>
</sst>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\ hh:mm:ss"/>
    <numFmt numFmtId="165" formatCode="[m]"/>
    <numFmt numFmtId="166" formatCode="0.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0" fontId="1" fillId="0" borderId="0" xfId="1" applyAlignment="1" applyProtection="1">
      <alignment horizontal="center" vertical="center"/>
    </xf>
    <xf numFmtId="0" fontId="1" fillId="0" borderId="0" xfId="1" applyNumberFormat="1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3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166" formatCode="0.00000"/>
      <alignment horizontal="center" vertical="center" textRotation="0" wrapText="0" indent="0" justifyLastLine="0" shrinkToFit="0" readingOrder="0"/>
      <protection locked="1" hidden="0"/>
    </dxf>
    <dxf>
      <numFmt numFmtId="166" formatCode="0.00000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numFmt numFmtId="165" formatCode="[m]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64" formatCode="dd/mm/yy\ hh:mm:ss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ont>
        <strike/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E9482-3AD2-4D7B-9330-B8772E18ACE9}" name="Tab_Payload3" displayName="Tab_Payload3" ref="A1:AB46" totalsRowShown="0" headerRowDxfId="28">
  <autoFilter ref="A1:AB46" xr:uid="{2E94DB6D-9CE5-4CEB-A6B3-EAAA75BA2DAB}"/>
  <tableColumns count="28">
    <tableColumn id="1" xr3:uid="{FACDCB9F-8EE6-4211-AC7D-ED2448BA71D0}" name="ESN" dataDxfId="27"/>
    <tableColumn id="2" xr3:uid="{D29DB21C-B6CB-47E1-95CD-C29905ECB556}" name="Payload" dataDxfId="26"/>
    <tableColumn id="3" xr3:uid="{15488C37-4458-44F2-9E98-8F3DB4A9016F}" name="Data Payload" dataDxfId="25"/>
    <tableColumn id="18" xr3:uid="{7F30D3DF-9CE2-48E8-8FB1-D57D2CDC9F8A}" name="Byte0" dataDxfId="24">
      <calculatedColumnFormula>HEX2BIN(MID(B2,1,2),8)</calculatedColumnFormula>
    </tableColumn>
    <tableColumn id="19" xr3:uid="{E78ECE6B-C466-4EEE-889E-B8F13CEED5D0}" name="Byte1-3" dataDxfId="23">
      <calculatedColumnFormula>MID(B2,3,6)</calculatedColumnFormula>
    </tableColumn>
    <tableColumn id="20" xr3:uid="{D595D35D-CC33-4EDD-AE4A-1FC4AD30BD13}" name="Byte4-6" dataDxfId="22">
      <calculatedColumnFormula>MID(B2,9,6)</calculatedColumnFormula>
    </tableColumn>
    <tableColumn id="21" xr3:uid="{CA40B8B1-32AC-4DF2-AE63-8857B173D448}" name="Byte7" dataDxfId="21">
      <calculatedColumnFormula>HEX2BIN(MID(B2,15,2),8)</calculatedColumnFormula>
    </tableColumn>
    <tableColumn id="22" xr3:uid="{289620C1-F5A5-4EF7-A69A-CB75518BE7C9}" name="Byte8" dataDxfId="20">
      <calculatedColumnFormula>HEX2BIN(MID(B2,17,2),8)</calculatedColumnFormula>
    </tableColumn>
    <tableColumn id="4" xr3:uid="{8A5A8F47-9AFF-4713-AA57-B6D8375FC4E5}" name="Data" dataDxfId="19">
      <calculatedColumnFormula>LEFT(C2, 19)-TIME(3,0,0)</calculatedColumnFormula>
    </tableColumn>
    <tableColumn id="5" xr3:uid="{CF6E9B51-6AFC-40D4-BF3D-8D4F478FB0AB}" name="Interv." dataDxfId="18">
      <calculatedColumnFormula>I2-I3</calculatedColumnFormula>
    </tableColumn>
    <tableColumn id="6" xr3:uid="{928F40B9-AD88-497E-92B9-A5CF485B642D}" name="Tipo Msg" dataDxfId="17">
      <calculatedColumnFormula array="1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calculatedColumnFormula>
    </tableColumn>
    <tableColumn id="23" xr3:uid="{57659440-1BAF-46D4-B825-5252364BDC1E}" name="Subtipo Msg" dataDxfId="16">
      <calculatedColumnFormula array="1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calculatedColumnFormula>
    </tableColumn>
    <tableColumn id="7" xr3:uid="{EB1B9184-D97C-4365-907B-1F437732D48F}" name="Ignição" dataDxfId="15">
      <calculatedColumnFormula>IF(MID(Tab_Payload3[[#This Row],[Byte7]],7,1)="1","Desligado","Ligado")</calculatedColumnFormula>
    </tableColumn>
    <tableColumn id="8" xr3:uid="{52C48EA5-AF6C-4CD7-A482-A7917F37A8E2}" name="Pânico" dataDxfId="14">
      <calculatedColumnFormula>IF(MID(Tab_Payload3[[#This Row],[Byte7]],5,1)="1","Desativado","Acionado")</calculatedColumnFormula>
    </tableColumn>
    <tableColumn id="10" xr3:uid="{470A7B03-8E45-4CFF-ADF7-2B8976EEF57F}" name="Evento" dataDxfId="13">
      <calculatedColumnFormula>IF(MID(Tab_Payload3[[#This Row],[Byte8]],2,1)="1","Movimento","Parado")</calculatedColumnFormula>
    </tableColumn>
    <tableColumn id="13" xr3:uid="{7FBD6D92-6C03-426A-8520-2735F14A8A90}" name="Pilhas" dataDxfId="12">
      <calculatedColumnFormula>IF(MID(Tab_Payload3[[#This Row],[Byte0]],6,1)="1","Carga Baixa","Com Carga")</calculatedColumnFormula>
    </tableColumn>
    <tableColumn id="14" xr3:uid="{612C8246-BC01-4C27-B176-1AF56A1DE0BC}" name="Latitude" dataDxfId="11">
      <calculatedColumnFormula>SUBSTITUTE(IF((HEX2DEC(Tab_Payload3[[#This Row],[Byte1-3]]) * (90/HEX2DEC(800000))) &gt; 90, (HEX2DEC(Tab_Payload3[[#This Row],[Byte1-3]]) * (90/HEX2DEC(800000)))-180, (HEX2DEC(Tab_Payload3[[#This Row],[Byte1-3]]) * (90/HEX2DEC(800000)))), ",", ".")</calculatedColumnFormula>
    </tableColumn>
    <tableColumn id="15" xr3:uid="{6B9F2CF1-7BE9-4F69-B696-164AACD5B9C0}" name="Longitude" dataDxfId="10">
      <calculatedColumnFormula>SUBSTITUTE(IF((HEX2DEC(Tab_Payload3[[#This Row],[Byte4-6]]) * (180/HEX2DEC(800000))) &gt; 180, (HEX2DEC(Tab_Payload3[[#This Row],[Byte4-6]]) * (180/HEX2DEC(800000)))-360, (HEX2DEC(Tab_Payload3[[#This Row],[Byte4-6]]) * (180/HEX2DEC(800000)))), ",", ".")</calculatedColumnFormula>
    </tableColumn>
    <tableColumn id="16" xr3:uid="{F5D7FDE4-CAAA-4960-ACC3-C8923E24D08B}" name="Mapa" dataDxfId="9">
      <calculatedColumnFormula>HYPERLINK("http://maps.google.com/maps?q="&amp;CONCATENATE(Tab_Payload3[[#This Row],[Latitude]], ",", Tab_Payload3[[#This Row],[Longitude]]),"Google Map")</calculatedColumnFormula>
    </tableColumn>
    <tableColumn id="17" xr3:uid="{91A9C333-A322-4B64-8169-2CFA1A33F4C9}" name="GPS Valid" dataDxfId="8">
      <calculatedColumnFormula>IF(MID(Tab_Payload3[[#This Row],[Byte0]],5,1)="0","Yes","No")</calculatedColumnFormula>
    </tableColumn>
    <tableColumn id="24" xr3:uid="{D58230CB-5BDB-4064-AD74-DAD4652A809C}" name="Missed Input" dataDxfId="7">
      <calculatedColumnFormula>MID(Tab_Payload3[[#This Row],[Byte0]],3,2)</calculatedColumnFormula>
    </tableColumn>
    <tableColumn id="25" xr3:uid="{E4941264-B03E-4C89-AE0F-354EBBC8D769}" name="GPS Fail Counter" dataDxfId="6">
      <calculatedColumnFormula>BIN2DEC(MID(Tab_Payload3[[#This Row],[Byte0]],1,2))</calculatedColumnFormula>
    </tableColumn>
    <tableColumn id="27" xr3:uid="{884226E1-E38B-4005-A8A5-A7A40D38C302}" name="In1 Trig" dataDxfId="5">
      <calculatedColumnFormula>IF(MID(Tab_Payload3[[#This Row],[Byte7]],8,1)="1","Yes","No")</calculatedColumnFormula>
    </tableColumn>
    <tableColumn id="26" xr3:uid="{491E162D-580F-4561-B5FD-98850EB6DFA4}" name="In2 Trig" dataDxfId="4">
      <calculatedColumnFormula>IF(MID(Tab_Payload3[[#This Row],[Byte7]],6,1)="1","Yes","No")</calculatedColumnFormula>
    </tableColumn>
    <tableColumn id="28" xr3:uid="{FE8C58CA-74C0-4010-88F2-D00226CA51CA}" name="Fix Conf" dataDxfId="3">
      <calculatedColumnFormula>MID(Tab_Payload3[[#This Row],[Byte8]],1,1)</calculatedColumnFormula>
    </tableColumn>
    <tableColumn id="29" xr3:uid="{BEA286A9-F8A2-4093-8B2F-4655B7A7D40A}" name="2D" dataDxfId="2">
      <calculatedColumnFormula>MID(Tab_Payload3[[#This Row],[Byte8]],3,1)</calculatedColumnFormula>
    </tableColumn>
    <tableColumn id="31" xr3:uid="{DEC0FA05-5227-4188-9F07-BF768DBDE8AD}" name="Vibr Bit" dataDxfId="1">
      <calculatedColumnFormula>MID(Tab_Payload3[[#This Row],[Byte8]],4,1)</calculatedColumnFormula>
    </tableColumn>
    <tableColumn id="30" xr3:uid="{848E6BEC-D0E4-485C-B84F-D6A52D870266}" name="Vib Trig" dataDxfId="0">
      <calculatedColumnFormula>MID(Tab_Payload3[[#This Row],[Byte8]],5,1)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7944-1DCF-427F-89FF-7E2FB2E034BE}">
  <dimension ref="A1:AB46"/>
  <sheetViews>
    <sheetView tabSelected="1" zoomScale="80" zoomScaleNormal="80" workbookViewId="0">
      <pane ySplit="1" topLeftCell="A30" activePane="bottomLeft" state="frozen"/>
      <selection pane="bottomLeft" activeCell="A2" sqref="A2"/>
    </sheetView>
  </sheetViews>
  <sheetFormatPr defaultRowHeight="14.25" x14ac:dyDescent="0.45"/>
  <cols>
    <col min="1" max="1" width="10.59765625" bestFit="1" customWidth="1"/>
    <col min="2" max="2" width="22.73046875" bestFit="1" customWidth="1"/>
    <col min="3" max="3" width="23.3984375" bestFit="1" customWidth="1"/>
    <col min="4" max="4" width="12" hidden="1" customWidth="1"/>
    <col min="5" max="6" width="13.73046875" hidden="1" customWidth="1"/>
    <col min="7" max="8" width="12" hidden="1" customWidth="1"/>
    <col min="9" max="9" width="17.1328125" bestFit="1" customWidth="1"/>
    <col min="10" max="10" width="12.3984375" bestFit="1" customWidth="1"/>
    <col min="11" max="11" width="14.59765625" customWidth="1"/>
    <col min="12" max="12" width="17.73046875" bestFit="1" customWidth="1"/>
    <col min="13" max="13" width="13.3984375" bestFit="1" customWidth="1"/>
    <col min="14" max="14" width="13" bestFit="1" customWidth="1"/>
    <col min="15" max="15" width="12.86328125" bestFit="1" customWidth="1"/>
    <col min="16" max="16" width="12.3984375" customWidth="1"/>
    <col min="17" max="18" width="22.86328125" bestFit="1" customWidth="1"/>
    <col min="19" max="19" width="11.73046875" bestFit="1" customWidth="1"/>
    <col min="20" max="20" width="15.265625" bestFit="1" customWidth="1"/>
    <col min="21" max="21" width="18.1328125" bestFit="1" customWidth="1"/>
    <col min="22" max="22" width="18.1328125" customWidth="1"/>
    <col min="23" max="24" width="13.1328125" bestFit="1" customWidth="1"/>
    <col min="25" max="28" width="13.1328125" customWidth="1"/>
    <col min="34" max="34" width="13" bestFit="1" customWidth="1"/>
  </cols>
  <sheetData>
    <row r="1" spans="1:2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5">
      <c r="A2" s="2"/>
      <c r="B2" s="2"/>
      <c r="C2" s="2"/>
      <c r="D2" s="1" t="str">
        <f t="shared" ref="D2:D46" si="0">HEX2BIN(MID(B2,1,2),8)</f>
        <v>00000000</v>
      </c>
      <c r="E2" s="1" t="str">
        <f t="shared" ref="E2:E46" si="1">MID(B2,3,6)</f>
        <v/>
      </c>
      <c r="F2" s="1" t="str">
        <f t="shared" ref="F2:F46" si="2">MID(B2,9,6)</f>
        <v/>
      </c>
      <c r="G2" s="1" t="str">
        <f t="shared" ref="G2:G46" si="3">HEX2BIN(MID(B2,15,2),8)</f>
        <v>00000000</v>
      </c>
      <c r="H2" s="1" t="str">
        <f t="shared" ref="H2:H46" si="4">HEX2BIN(MID(B2,17,2),8)</f>
        <v>00000000</v>
      </c>
      <c r="I2" s="3" t="e">
        <f t="shared" ref="I2:I45" si="5">LEFT(C2, 19)-TIME(3,0,0)</f>
        <v>#VALUE!</v>
      </c>
      <c r="J2" s="4" t="e">
        <f t="shared" ref="J2:J39" si="6">I2-I3</f>
        <v>#VALUE!</v>
      </c>
      <c r="K2" s="1" t="str" cm="1">
        <f t="array" ref="K2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" s="1" t="str" cm="1">
        <f t="array" ref="L2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" s="1" t="str">
        <f>IF(MID(Tab_Payload3[[#This Row],[Byte7]],7,1)="1","Desligado","Ligado")</f>
        <v>Ligado</v>
      </c>
      <c r="N2" s="1" t="str">
        <f>IF(MID(Tab_Payload3[[#This Row],[Byte7]],5,1)="1","Desativado","Acionado")</f>
        <v>Acionado</v>
      </c>
      <c r="O2" s="1" t="str">
        <f>IF(MID(Tab_Payload3[[#This Row],[Byte8]],2,1)="1","Movimento","Parado")</f>
        <v>Parado</v>
      </c>
      <c r="P2" s="1" t="str">
        <f>IF(MID(Tab_Payload3[[#This Row],[Byte0]],6,1)="1","Carga Baixa","Com Carga")</f>
        <v>Com Carga</v>
      </c>
      <c r="Q2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" s="6" t="str">
        <f>HYPERLINK("http://maps.google.com/maps?q="&amp;CONCATENATE(Tab_Payload3[[#This Row],[Latitude]], ",", Tab_Payload3[[#This Row],[Longitude]]),"Google Map")</f>
        <v>Google Map</v>
      </c>
      <c r="T2" s="1" t="str">
        <f>IF(MID(Tab_Payload3[[#This Row],[Byte0]],5,1)="0","Yes","No")</f>
        <v>Yes</v>
      </c>
      <c r="U2" s="1" t="str">
        <f>MID(Tab_Payload3[[#This Row],[Byte0]],3,2)</f>
        <v>00</v>
      </c>
      <c r="V2" s="1">
        <f>BIN2DEC(MID(Tab_Payload3[[#This Row],[Byte0]],1,2))</f>
        <v>0</v>
      </c>
      <c r="W2" s="1" t="str">
        <f>IF(MID(Tab_Payload3[[#This Row],[Byte7]],8,1)="1","Yes","No")</f>
        <v>No</v>
      </c>
      <c r="X2" s="1" t="str">
        <f>IF(MID(Tab_Payload3[[#This Row],[Byte7]],6,1)="1","Yes","No")</f>
        <v>No</v>
      </c>
      <c r="Y2" s="1" t="str">
        <f>MID(Tab_Payload3[[#This Row],[Byte8]],1,1)</f>
        <v>0</v>
      </c>
      <c r="Z2" s="1" t="str">
        <f>MID(Tab_Payload3[[#This Row],[Byte8]],3,1)</f>
        <v>0</v>
      </c>
      <c r="AA2" s="1" t="str">
        <f>MID(Tab_Payload3[[#This Row],[Byte8]],4,1)</f>
        <v>0</v>
      </c>
      <c r="AB2" s="1" t="str">
        <f>MID(Tab_Payload3[[#This Row],[Byte8]],5,1)</f>
        <v>0</v>
      </c>
    </row>
    <row r="3" spans="1:28" x14ac:dyDescent="0.45">
      <c r="A3" s="2"/>
      <c r="B3" s="2"/>
      <c r="C3" s="2"/>
      <c r="D3" s="1" t="str">
        <f t="shared" si="0"/>
        <v>00000000</v>
      </c>
      <c r="E3" s="1" t="str">
        <f t="shared" si="1"/>
        <v/>
      </c>
      <c r="F3" s="1" t="str">
        <f t="shared" si="2"/>
        <v/>
      </c>
      <c r="G3" s="1" t="str">
        <f t="shared" si="3"/>
        <v>00000000</v>
      </c>
      <c r="H3" s="1" t="str">
        <f t="shared" si="4"/>
        <v>00000000</v>
      </c>
      <c r="I3" s="3" t="e">
        <f t="shared" si="5"/>
        <v>#VALUE!</v>
      </c>
      <c r="J3" s="4" t="e">
        <f t="shared" si="6"/>
        <v>#VALUE!</v>
      </c>
      <c r="K3" s="1" t="str" cm="1">
        <f t="array" ref="K3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" s="1" t="str" cm="1">
        <f t="array" ref="L3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" s="1" t="str">
        <f>IF(MID(Tab_Payload3[[#This Row],[Byte7]],7,1)="1","Desligado","Ligado")</f>
        <v>Ligado</v>
      </c>
      <c r="N3" s="1" t="str">
        <f>IF(MID(Tab_Payload3[[#This Row],[Byte7]],5,1)="1","Desativado","Acionado")</f>
        <v>Acionado</v>
      </c>
      <c r="O3" s="1" t="str">
        <f>IF(MID(Tab_Payload3[[#This Row],[Byte8]],2,1)="1","Movimento","Parado")</f>
        <v>Parado</v>
      </c>
      <c r="P3" s="1" t="str">
        <f>IF(MID(Tab_Payload3[[#This Row],[Byte0]],6,1)="1","Carga Baixa","Com Carga")</f>
        <v>Com Carga</v>
      </c>
      <c r="Q3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" s="7" t="str">
        <f>HYPERLINK("http://maps.google.com/maps?q="&amp;CONCATENATE(Tab_Payload3[[#This Row],[Latitude]], ",", Tab_Payload3[[#This Row],[Longitude]]),"Google Map")</f>
        <v>Google Map</v>
      </c>
      <c r="T3" s="1" t="str">
        <f>IF(MID(Tab_Payload3[[#This Row],[Byte0]],5,1)="0","Yes","No")</f>
        <v>Yes</v>
      </c>
      <c r="U3" s="1" t="str">
        <f>MID(Tab_Payload3[[#This Row],[Byte0]],3,2)</f>
        <v>00</v>
      </c>
      <c r="V3" s="1">
        <f>BIN2DEC(MID(Tab_Payload3[[#This Row],[Byte0]],1,2))</f>
        <v>0</v>
      </c>
      <c r="W3" s="1" t="str">
        <f>IF(MID(Tab_Payload3[[#This Row],[Byte7]],8,1)="1","Yes","No")</f>
        <v>No</v>
      </c>
      <c r="X3" s="1" t="str">
        <f>IF(MID(Tab_Payload3[[#This Row],[Byte7]],6,1)="1","Yes","No")</f>
        <v>No</v>
      </c>
      <c r="Y3" s="1" t="str">
        <f>MID(Tab_Payload3[[#This Row],[Byte8]],1,1)</f>
        <v>0</v>
      </c>
      <c r="Z3" s="1" t="str">
        <f>MID(Tab_Payload3[[#This Row],[Byte8]],3,1)</f>
        <v>0</v>
      </c>
      <c r="AA3" s="1" t="str">
        <f>MID(Tab_Payload3[[#This Row],[Byte8]],4,1)</f>
        <v>0</v>
      </c>
      <c r="AB3" s="1" t="str">
        <f>MID(Tab_Payload3[[#This Row],[Byte8]],5,1)</f>
        <v>0</v>
      </c>
    </row>
    <row r="4" spans="1:28" x14ac:dyDescent="0.45">
      <c r="A4" s="2"/>
      <c r="B4" s="2"/>
      <c r="C4" s="2"/>
      <c r="D4" s="1" t="str">
        <f t="shared" si="0"/>
        <v>00000000</v>
      </c>
      <c r="E4" s="1" t="str">
        <f t="shared" si="1"/>
        <v/>
      </c>
      <c r="F4" s="1" t="str">
        <f t="shared" si="2"/>
        <v/>
      </c>
      <c r="G4" s="1" t="str">
        <f t="shared" si="3"/>
        <v>00000000</v>
      </c>
      <c r="H4" s="1" t="str">
        <f t="shared" si="4"/>
        <v>00000000</v>
      </c>
      <c r="I4" s="3" t="e">
        <f t="shared" si="5"/>
        <v>#VALUE!</v>
      </c>
      <c r="J4" s="4" t="e">
        <f t="shared" si="6"/>
        <v>#VALUE!</v>
      </c>
      <c r="K4" s="1" t="str" cm="1">
        <f t="array" ref="K4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" s="1" t="str" cm="1">
        <f t="array" ref="L4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" s="1" t="str">
        <f>IF(MID(Tab_Payload3[[#This Row],[Byte7]],7,1)="1","Desligado","Ligado")</f>
        <v>Ligado</v>
      </c>
      <c r="N4" s="1" t="str">
        <f>IF(MID(Tab_Payload3[[#This Row],[Byte7]],5,1)="1","Desativado","Acionado")</f>
        <v>Acionado</v>
      </c>
      <c r="O4" s="1" t="str">
        <f>IF(MID(Tab_Payload3[[#This Row],[Byte8]],2,1)="1","Movimento","Parado")</f>
        <v>Parado</v>
      </c>
      <c r="P4" s="1" t="str">
        <f>IF(MID(Tab_Payload3[[#This Row],[Byte0]],6,1)="1","Carga Baixa","Com Carga")</f>
        <v>Com Carga</v>
      </c>
      <c r="Q4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" s="7" t="str">
        <f>HYPERLINK("http://maps.google.com/maps?q="&amp;CONCATENATE(Tab_Payload3[[#This Row],[Latitude]], ",", Tab_Payload3[[#This Row],[Longitude]]),"Google Map")</f>
        <v>Google Map</v>
      </c>
      <c r="T4" s="1" t="str">
        <f>IF(MID(Tab_Payload3[[#This Row],[Byte0]],5,1)="0","Yes","No")</f>
        <v>Yes</v>
      </c>
      <c r="U4" s="1" t="str">
        <f>MID(Tab_Payload3[[#This Row],[Byte0]],3,2)</f>
        <v>00</v>
      </c>
      <c r="V4" s="1">
        <f>BIN2DEC(MID(Tab_Payload3[[#This Row],[Byte0]],1,2))</f>
        <v>0</v>
      </c>
      <c r="W4" s="1" t="str">
        <f>IF(MID(Tab_Payload3[[#This Row],[Byte7]],8,1)="1","Yes","No")</f>
        <v>No</v>
      </c>
      <c r="X4" s="1" t="str">
        <f>IF(MID(Tab_Payload3[[#This Row],[Byte7]],6,1)="1","Yes","No")</f>
        <v>No</v>
      </c>
      <c r="Y4" s="1" t="str">
        <f>MID(Tab_Payload3[[#This Row],[Byte8]],1,1)</f>
        <v>0</v>
      </c>
      <c r="Z4" s="1" t="str">
        <f>MID(Tab_Payload3[[#This Row],[Byte8]],3,1)</f>
        <v>0</v>
      </c>
      <c r="AA4" s="1" t="str">
        <f>MID(Tab_Payload3[[#This Row],[Byte8]],4,1)</f>
        <v>0</v>
      </c>
      <c r="AB4" s="1" t="str">
        <f>MID(Tab_Payload3[[#This Row],[Byte8]],5,1)</f>
        <v>0</v>
      </c>
    </row>
    <row r="5" spans="1:28" x14ac:dyDescent="0.45">
      <c r="A5" s="2"/>
      <c r="B5" s="2"/>
      <c r="C5" s="2"/>
      <c r="D5" s="1" t="str">
        <f t="shared" si="0"/>
        <v>00000000</v>
      </c>
      <c r="E5" s="1" t="str">
        <f t="shared" si="1"/>
        <v/>
      </c>
      <c r="F5" s="1" t="str">
        <f t="shared" si="2"/>
        <v/>
      </c>
      <c r="G5" s="1" t="str">
        <f t="shared" si="3"/>
        <v>00000000</v>
      </c>
      <c r="H5" s="1" t="str">
        <f t="shared" si="4"/>
        <v>00000000</v>
      </c>
      <c r="I5" s="3" t="e">
        <f t="shared" si="5"/>
        <v>#VALUE!</v>
      </c>
      <c r="J5" s="4" t="e">
        <f t="shared" si="6"/>
        <v>#VALUE!</v>
      </c>
      <c r="K5" s="1" t="str" cm="1">
        <f t="array" ref="K5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5" s="1" t="str" cm="1">
        <f t="array" ref="L5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5" s="1" t="str">
        <f>IF(MID(Tab_Payload3[[#This Row],[Byte7]],7,1)="1","Desligado","Ligado")</f>
        <v>Ligado</v>
      </c>
      <c r="N5" s="1" t="str">
        <f>IF(MID(Tab_Payload3[[#This Row],[Byte7]],5,1)="1","Desativado","Acionado")</f>
        <v>Acionado</v>
      </c>
      <c r="O5" s="1" t="str">
        <f>IF(MID(Tab_Payload3[[#This Row],[Byte8]],2,1)="1","Movimento","Parado")</f>
        <v>Parado</v>
      </c>
      <c r="P5" s="1" t="str">
        <f>IF(MID(Tab_Payload3[[#This Row],[Byte0]],6,1)="1","Carga Baixa","Com Carga")</f>
        <v>Com Carga</v>
      </c>
      <c r="Q5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5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5" s="7" t="str">
        <f>HYPERLINK("http://maps.google.com/maps?q="&amp;CONCATENATE(Tab_Payload3[[#This Row],[Latitude]], ",", Tab_Payload3[[#This Row],[Longitude]]),"Google Map")</f>
        <v>Google Map</v>
      </c>
      <c r="T5" s="1" t="str">
        <f>IF(MID(Tab_Payload3[[#This Row],[Byte0]],5,1)="0","Yes","No")</f>
        <v>Yes</v>
      </c>
      <c r="U5" s="1" t="str">
        <f>MID(Tab_Payload3[[#This Row],[Byte0]],3,2)</f>
        <v>00</v>
      </c>
      <c r="V5" s="1">
        <f>BIN2DEC(MID(Tab_Payload3[[#This Row],[Byte0]],1,2))</f>
        <v>0</v>
      </c>
      <c r="W5" s="1" t="str">
        <f>IF(MID(Tab_Payload3[[#This Row],[Byte7]],8,1)="1","Yes","No")</f>
        <v>No</v>
      </c>
      <c r="X5" s="1" t="str">
        <f>IF(MID(Tab_Payload3[[#This Row],[Byte7]],6,1)="1","Yes","No")</f>
        <v>No</v>
      </c>
      <c r="Y5" s="1" t="str">
        <f>MID(Tab_Payload3[[#This Row],[Byte8]],1,1)</f>
        <v>0</v>
      </c>
      <c r="Z5" s="1" t="str">
        <f>MID(Tab_Payload3[[#This Row],[Byte8]],3,1)</f>
        <v>0</v>
      </c>
      <c r="AA5" s="1" t="str">
        <f>MID(Tab_Payload3[[#This Row],[Byte8]],4,1)</f>
        <v>0</v>
      </c>
      <c r="AB5" s="1" t="str">
        <f>MID(Tab_Payload3[[#This Row],[Byte8]],5,1)</f>
        <v>0</v>
      </c>
    </row>
    <row r="6" spans="1:28" x14ac:dyDescent="0.45">
      <c r="A6" s="2"/>
      <c r="B6" s="2"/>
      <c r="C6" s="2"/>
      <c r="D6" s="1" t="str">
        <f t="shared" si="0"/>
        <v>00000000</v>
      </c>
      <c r="E6" s="1" t="str">
        <f t="shared" si="1"/>
        <v/>
      </c>
      <c r="F6" s="1" t="str">
        <f t="shared" si="2"/>
        <v/>
      </c>
      <c r="G6" s="1" t="str">
        <f t="shared" si="3"/>
        <v>00000000</v>
      </c>
      <c r="H6" s="1" t="str">
        <f t="shared" si="4"/>
        <v>00000000</v>
      </c>
      <c r="I6" s="3" t="e">
        <f t="shared" si="5"/>
        <v>#VALUE!</v>
      </c>
      <c r="J6" s="4" t="e">
        <f t="shared" si="6"/>
        <v>#VALUE!</v>
      </c>
      <c r="K6" s="1" t="str" cm="1">
        <f t="array" ref="K6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6" s="1" t="str" cm="1">
        <f t="array" ref="L6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6" s="1" t="str">
        <f>IF(MID(Tab_Payload3[[#This Row],[Byte7]],7,1)="1","Desligado","Ligado")</f>
        <v>Ligado</v>
      </c>
      <c r="N6" s="1" t="str">
        <f>IF(MID(Tab_Payload3[[#This Row],[Byte7]],5,1)="1","Desativado","Acionado")</f>
        <v>Acionado</v>
      </c>
      <c r="O6" s="1" t="str">
        <f>IF(MID(Tab_Payload3[[#This Row],[Byte8]],2,1)="1","Movimento","Parado")</f>
        <v>Parado</v>
      </c>
      <c r="P6" s="1" t="str">
        <f>IF(MID(Tab_Payload3[[#This Row],[Byte0]],6,1)="1","Carga Baixa","Com Carga")</f>
        <v>Com Carga</v>
      </c>
      <c r="Q6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6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6" s="7" t="str">
        <f>HYPERLINK("http://maps.google.com/maps?q="&amp;CONCATENATE(Tab_Payload3[[#This Row],[Latitude]], ",", Tab_Payload3[[#This Row],[Longitude]]),"Google Map")</f>
        <v>Google Map</v>
      </c>
      <c r="T6" s="1" t="str">
        <f>IF(MID(Tab_Payload3[[#This Row],[Byte0]],5,1)="0","Yes","No")</f>
        <v>Yes</v>
      </c>
      <c r="U6" s="1" t="str">
        <f>MID(Tab_Payload3[[#This Row],[Byte0]],3,2)</f>
        <v>00</v>
      </c>
      <c r="V6" s="1">
        <f>BIN2DEC(MID(Tab_Payload3[[#This Row],[Byte0]],1,2))</f>
        <v>0</v>
      </c>
      <c r="W6" s="1" t="str">
        <f>IF(MID(Tab_Payload3[[#This Row],[Byte7]],8,1)="1","Yes","No")</f>
        <v>No</v>
      </c>
      <c r="X6" s="1" t="str">
        <f>IF(MID(Tab_Payload3[[#This Row],[Byte7]],6,1)="1","Yes","No")</f>
        <v>No</v>
      </c>
      <c r="Y6" s="1" t="str">
        <f>MID(Tab_Payload3[[#This Row],[Byte8]],1,1)</f>
        <v>0</v>
      </c>
      <c r="Z6" s="1" t="str">
        <f>MID(Tab_Payload3[[#This Row],[Byte8]],3,1)</f>
        <v>0</v>
      </c>
      <c r="AA6" s="1" t="str">
        <f>MID(Tab_Payload3[[#This Row],[Byte8]],4,1)</f>
        <v>0</v>
      </c>
      <c r="AB6" s="1" t="str">
        <f>MID(Tab_Payload3[[#This Row],[Byte8]],5,1)</f>
        <v>0</v>
      </c>
    </row>
    <row r="7" spans="1:28" x14ac:dyDescent="0.45">
      <c r="A7" s="2"/>
      <c r="B7" s="2"/>
      <c r="C7" s="2"/>
      <c r="D7" s="1" t="str">
        <f t="shared" si="0"/>
        <v>00000000</v>
      </c>
      <c r="E7" s="1" t="str">
        <f t="shared" si="1"/>
        <v/>
      </c>
      <c r="F7" s="1" t="str">
        <f t="shared" si="2"/>
        <v/>
      </c>
      <c r="G7" s="1" t="str">
        <f t="shared" si="3"/>
        <v>00000000</v>
      </c>
      <c r="H7" s="1" t="str">
        <f t="shared" si="4"/>
        <v>00000000</v>
      </c>
      <c r="I7" s="3" t="e">
        <f t="shared" si="5"/>
        <v>#VALUE!</v>
      </c>
      <c r="J7" s="4" t="e">
        <f t="shared" si="6"/>
        <v>#VALUE!</v>
      </c>
      <c r="K7" s="1" t="str" cm="1">
        <f t="array" ref="K7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7" s="1" t="str" cm="1">
        <f t="array" ref="L7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7" s="1" t="str">
        <f>IF(MID(Tab_Payload3[[#This Row],[Byte7]],7,1)="1","Desligado","Ligado")</f>
        <v>Ligado</v>
      </c>
      <c r="N7" s="1" t="str">
        <f>IF(MID(Tab_Payload3[[#This Row],[Byte7]],5,1)="1","Desativado","Acionado")</f>
        <v>Acionado</v>
      </c>
      <c r="O7" s="1" t="str">
        <f>IF(MID(Tab_Payload3[[#This Row],[Byte8]],2,1)="1","Movimento","Parado")</f>
        <v>Parado</v>
      </c>
      <c r="P7" s="1" t="str">
        <f>IF(MID(Tab_Payload3[[#This Row],[Byte0]],6,1)="1","Carga Baixa","Com Carga")</f>
        <v>Com Carga</v>
      </c>
      <c r="Q7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7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7" s="7" t="str">
        <f>HYPERLINK("http://maps.google.com/maps?q="&amp;CONCATENATE(Tab_Payload3[[#This Row],[Latitude]], ",", Tab_Payload3[[#This Row],[Longitude]]),"Google Map")</f>
        <v>Google Map</v>
      </c>
      <c r="T7" s="1" t="str">
        <f>IF(MID(Tab_Payload3[[#This Row],[Byte0]],5,1)="0","Yes","No")</f>
        <v>Yes</v>
      </c>
      <c r="U7" s="1" t="str">
        <f>MID(Tab_Payload3[[#This Row],[Byte0]],3,2)</f>
        <v>00</v>
      </c>
      <c r="V7" s="1">
        <f>BIN2DEC(MID(Tab_Payload3[[#This Row],[Byte0]],1,2))</f>
        <v>0</v>
      </c>
      <c r="W7" s="1" t="str">
        <f>IF(MID(Tab_Payload3[[#This Row],[Byte7]],8,1)="1","Yes","No")</f>
        <v>No</v>
      </c>
      <c r="X7" s="1" t="str">
        <f>IF(MID(Tab_Payload3[[#This Row],[Byte7]],6,1)="1","Yes","No")</f>
        <v>No</v>
      </c>
      <c r="Y7" s="1" t="str">
        <f>MID(Tab_Payload3[[#This Row],[Byte8]],1,1)</f>
        <v>0</v>
      </c>
      <c r="Z7" s="1" t="str">
        <f>MID(Tab_Payload3[[#This Row],[Byte8]],3,1)</f>
        <v>0</v>
      </c>
      <c r="AA7" s="1" t="str">
        <f>MID(Tab_Payload3[[#This Row],[Byte8]],4,1)</f>
        <v>0</v>
      </c>
      <c r="AB7" s="1" t="str">
        <f>MID(Tab_Payload3[[#This Row],[Byte8]],5,1)</f>
        <v>0</v>
      </c>
    </row>
    <row r="8" spans="1:28" x14ac:dyDescent="0.45">
      <c r="A8" s="2"/>
      <c r="B8" s="2"/>
      <c r="C8" s="2"/>
      <c r="D8" s="1" t="str">
        <f t="shared" si="0"/>
        <v>00000000</v>
      </c>
      <c r="E8" s="1" t="str">
        <f t="shared" si="1"/>
        <v/>
      </c>
      <c r="F8" s="1" t="str">
        <f t="shared" si="2"/>
        <v/>
      </c>
      <c r="G8" s="1" t="str">
        <f t="shared" si="3"/>
        <v>00000000</v>
      </c>
      <c r="H8" s="1" t="str">
        <f t="shared" si="4"/>
        <v>00000000</v>
      </c>
      <c r="I8" s="3" t="e">
        <f t="shared" si="5"/>
        <v>#VALUE!</v>
      </c>
      <c r="J8" s="4" t="e">
        <f t="shared" si="6"/>
        <v>#VALUE!</v>
      </c>
      <c r="K8" s="1" t="str" cm="1">
        <f t="array" ref="K8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8" s="1" t="str" cm="1">
        <f t="array" ref="L8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8" s="1" t="str">
        <f>IF(MID(Tab_Payload3[[#This Row],[Byte7]],7,1)="1","Desligado","Ligado")</f>
        <v>Ligado</v>
      </c>
      <c r="N8" s="1" t="str">
        <f>IF(MID(Tab_Payload3[[#This Row],[Byte7]],5,1)="1","Desativado","Acionado")</f>
        <v>Acionado</v>
      </c>
      <c r="O8" s="1" t="str">
        <f>IF(MID(Tab_Payload3[[#This Row],[Byte8]],2,1)="1","Movimento","Parado")</f>
        <v>Parado</v>
      </c>
      <c r="P8" s="1" t="str">
        <f>IF(MID(Tab_Payload3[[#This Row],[Byte0]],6,1)="1","Carga Baixa","Com Carga")</f>
        <v>Com Carga</v>
      </c>
      <c r="Q8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8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8" s="7" t="str">
        <f>HYPERLINK("http://maps.google.com/maps?q="&amp;CONCATENATE(Tab_Payload3[[#This Row],[Latitude]], ",", Tab_Payload3[[#This Row],[Longitude]]),"Google Map")</f>
        <v>Google Map</v>
      </c>
      <c r="T8" s="1" t="str">
        <f>IF(MID(Tab_Payload3[[#This Row],[Byte0]],5,1)="0","Yes","No")</f>
        <v>Yes</v>
      </c>
      <c r="U8" s="1" t="str">
        <f>MID(Tab_Payload3[[#This Row],[Byte0]],3,2)</f>
        <v>00</v>
      </c>
      <c r="V8" s="1">
        <f>BIN2DEC(MID(Tab_Payload3[[#This Row],[Byte0]],1,2))</f>
        <v>0</v>
      </c>
      <c r="W8" s="1" t="str">
        <f>IF(MID(Tab_Payload3[[#This Row],[Byte7]],8,1)="1","Yes","No")</f>
        <v>No</v>
      </c>
      <c r="X8" s="1" t="str">
        <f>IF(MID(Tab_Payload3[[#This Row],[Byte7]],6,1)="1","Yes","No")</f>
        <v>No</v>
      </c>
      <c r="Y8" s="1" t="str">
        <f>MID(Tab_Payload3[[#This Row],[Byte8]],1,1)</f>
        <v>0</v>
      </c>
      <c r="Z8" s="1" t="str">
        <f>MID(Tab_Payload3[[#This Row],[Byte8]],3,1)</f>
        <v>0</v>
      </c>
      <c r="AA8" s="1" t="str">
        <f>MID(Tab_Payload3[[#This Row],[Byte8]],4,1)</f>
        <v>0</v>
      </c>
      <c r="AB8" s="1" t="str">
        <f>MID(Tab_Payload3[[#This Row],[Byte8]],5,1)</f>
        <v>0</v>
      </c>
    </row>
    <row r="9" spans="1:28" x14ac:dyDescent="0.45">
      <c r="A9" s="2"/>
      <c r="B9" s="2"/>
      <c r="C9" s="2"/>
      <c r="D9" s="1" t="str">
        <f t="shared" si="0"/>
        <v>00000000</v>
      </c>
      <c r="E9" s="1" t="str">
        <f t="shared" si="1"/>
        <v/>
      </c>
      <c r="F9" s="1" t="str">
        <f t="shared" si="2"/>
        <v/>
      </c>
      <c r="G9" s="1" t="str">
        <f t="shared" si="3"/>
        <v>00000000</v>
      </c>
      <c r="H9" s="1" t="str">
        <f t="shared" si="4"/>
        <v>00000000</v>
      </c>
      <c r="I9" s="3" t="e">
        <f t="shared" si="5"/>
        <v>#VALUE!</v>
      </c>
      <c r="J9" s="4" t="e">
        <f t="shared" si="6"/>
        <v>#VALUE!</v>
      </c>
      <c r="K9" s="1" t="str" cm="1">
        <f t="array" ref="K9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9" s="1" t="str" cm="1">
        <f t="array" ref="L9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9" s="1" t="str">
        <f>IF(MID(Tab_Payload3[[#This Row],[Byte7]],7,1)="1","Desligado","Ligado")</f>
        <v>Ligado</v>
      </c>
      <c r="N9" s="1" t="str">
        <f>IF(MID(Tab_Payload3[[#This Row],[Byte7]],5,1)="1","Desativado","Acionado")</f>
        <v>Acionado</v>
      </c>
      <c r="O9" s="1" t="str">
        <f>IF(MID(Tab_Payload3[[#This Row],[Byte8]],2,1)="1","Movimento","Parado")</f>
        <v>Parado</v>
      </c>
      <c r="P9" s="1" t="str">
        <f>IF(MID(Tab_Payload3[[#This Row],[Byte0]],6,1)="1","Carga Baixa","Com Carga")</f>
        <v>Com Carga</v>
      </c>
      <c r="Q9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9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9" s="7" t="str">
        <f>HYPERLINK("http://maps.google.com/maps?q="&amp;CONCATENATE(Tab_Payload3[[#This Row],[Latitude]], ",", Tab_Payload3[[#This Row],[Longitude]]),"Google Map")</f>
        <v>Google Map</v>
      </c>
      <c r="T9" s="1" t="str">
        <f>IF(MID(Tab_Payload3[[#This Row],[Byte0]],5,1)="0","Yes","No")</f>
        <v>Yes</v>
      </c>
      <c r="U9" s="1" t="str">
        <f>MID(Tab_Payload3[[#This Row],[Byte0]],3,2)</f>
        <v>00</v>
      </c>
      <c r="V9" s="1">
        <f>BIN2DEC(MID(Tab_Payload3[[#This Row],[Byte0]],1,2))</f>
        <v>0</v>
      </c>
      <c r="W9" s="1" t="str">
        <f>IF(MID(Tab_Payload3[[#This Row],[Byte7]],8,1)="1","Yes","No")</f>
        <v>No</v>
      </c>
      <c r="X9" s="1" t="str">
        <f>IF(MID(Tab_Payload3[[#This Row],[Byte7]],6,1)="1","Yes","No")</f>
        <v>No</v>
      </c>
      <c r="Y9" s="1" t="str">
        <f>MID(Tab_Payload3[[#This Row],[Byte8]],1,1)</f>
        <v>0</v>
      </c>
      <c r="Z9" s="1" t="str">
        <f>MID(Tab_Payload3[[#This Row],[Byte8]],3,1)</f>
        <v>0</v>
      </c>
      <c r="AA9" s="1" t="str">
        <f>MID(Tab_Payload3[[#This Row],[Byte8]],4,1)</f>
        <v>0</v>
      </c>
      <c r="AB9" s="1" t="str">
        <f>MID(Tab_Payload3[[#This Row],[Byte8]],5,1)</f>
        <v>0</v>
      </c>
    </row>
    <row r="10" spans="1:28" x14ac:dyDescent="0.45">
      <c r="A10" s="2"/>
      <c r="B10" s="2"/>
      <c r="C10" s="2"/>
      <c r="D10" s="1" t="str">
        <f t="shared" si="0"/>
        <v>00000000</v>
      </c>
      <c r="E10" s="1" t="str">
        <f t="shared" si="1"/>
        <v/>
      </c>
      <c r="F10" s="1" t="str">
        <f t="shared" si="2"/>
        <v/>
      </c>
      <c r="G10" s="1" t="str">
        <f t="shared" si="3"/>
        <v>00000000</v>
      </c>
      <c r="H10" s="1" t="str">
        <f t="shared" si="4"/>
        <v>00000000</v>
      </c>
      <c r="I10" s="3" t="e">
        <f t="shared" si="5"/>
        <v>#VALUE!</v>
      </c>
      <c r="J10" s="4" t="e">
        <f t="shared" si="6"/>
        <v>#VALUE!</v>
      </c>
      <c r="K10" s="1" t="str" cm="1">
        <f t="array" ref="K10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0" s="1" t="str" cm="1">
        <f t="array" ref="L10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0" s="1" t="str">
        <f>IF(MID(Tab_Payload3[[#This Row],[Byte7]],7,1)="1","Desligado","Ligado")</f>
        <v>Ligado</v>
      </c>
      <c r="N10" s="1" t="str">
        <f>IF(MID(Tab_Payload3[[#This Row],[Byte7]],5,1)="1","Desativado","Acionado")</f>
        <v>Acionado</v>
      </c>
      <c r="O10" s="1" t="str">
        <f>IF(MID(Tab_Payload3[[#This Row],[Byte8]],2,1)="1","Movimento","Parado")</f>
        <v>Parado</v>
      </c>
      <c r="P10" s="1" t="str">
        <f>IF(MID(Tab_Payload3[[#This Row],[Byte0]],6,1)="1","Carga Baixa","Com Carga")</f>
        <v>Com Carga</v>
      </c>
      <c r="Q10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0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0" s="7" t="str">
        <f>HYPERLINK("http://maps.google.com/maps?q="&amp;CONCATENATE(Tab_Payload3[[#This Row],[Latitude]], ",", Tab_Payload3[[#This Row],[Longitude]]),"Google Map")</f>
        <v>Google Map</v>
      </c>
      <c r="T10" s="1" t="str">
        <f>IF(MID(Tab_Payload3[[#This Row],[Byte0]],5,1)="0","Yes","No")</f>
        <v>Yes</v>
      </c>
      <c r="U10" s="1" t="str">
        <f>MID(Tab_Payload3[[#This Row],[Byte0]],3,2)</f>
        <v>00</v>
      </c>
      <c r="V10" s="1">
        <f>BIN2DEC(MID(Tab_Payload3[[#This Row],[Byte0]],1,2))</f>
        <v>0</v>
      </c>
      <c r="W10" s="1" t="str">
        <f>IF(MID(Tab_Payload3[[#This Row],[Byte7]],8,1)="1","Yes","No")</f>
        <v>No</v>
      </c>
      <c r="X10" s="1" t="str">
        <f>IF(MID(Tab_Payload3[[#This Row],[Byte7]],6,1)="1","Yes","No")</f>
        <v>No</v>
      </c>
      <c r="Y10" s="1" t="str">
        <f>MID(Tab_Payload3[[#This Row],[Byte8]],1,1)</f>
        <v>0</v>
      </c>
      <c r="Z10" s="1" t="str">
        <f>MID(Tab_Payload3[[#This Row],[Byte8]],3,1)</f>
        <v>0</v>
      </c>
      <c r="AA10" s="1" t="str">
        <f>MID(Tab_Payload3[[#This Row],[Byte8]],4,1)</f>
        <v>0</v>
      </c>
      <c r="AB10" s="1" t="str">
        <f>MID(Tab_Payload3[[#This Row],[Byte8]],5,1)</f>
        <v>0</v>
      </c>
    </row>
    <row r="11" spans="1:28" x14ac:dyDescent="0.45">
      <c r="A11" s="2"/>
      <c r="B11" s="2"/>
      <c r="C11" s="2"/>
      <c r="D11" s="1" t="str">
        <f t="shared" si="0"/>
        <v>00000000</v>
      </c>
      <c r="E11" s="1" t="str">
        <f t="shared" si="1"/>
        <v/>
      </c>
      <c r="F11" s="1" t="str">
        <f t="shared" si="2"/>
        <v/>
      </c>
      <c r="G11" s="1" t="str">
        <f t="shared" si="3"/>
        <v>00000000</v>
      </c>
      <c r="H11" s="1" t="str">
        <f t="shared" si="4"/>
        <v>00000000</v>
      </c>
      <c r="I11" s="3" t="e">
        <f t="shared" si="5"/>
        <v>#VALUE!</v>
      </c>
      <c r="J11" s="4" t="e">
        <f t="shared" si="6"/>
        <v>#VALUE!</v>
      </c>
      <c r="K11" s="1" t="str" cm="1">
        <f t="array" ref="K11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1" s="1" t="str" cm="1">
        <f t="array" ref="L11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1" s="1" t="str">
        <f>IF(MID(Tab_Payload3[[#This Row],[Byte7]],7,1)="1","Desligado","Ligado")</f>
        <v>Ligado</v>
      </c>
      <c r="N11" s="1" t="str">
        <f>IF(MID(Tab_Payload3[[#This Row],[Byte7]],5,1)="1","Desativado","Acionado")</f>
        <v>Acionado</v>
      </c>
      <c r="O11" s="1" t="str">
        <f>IF(MID(Tab_Payload3[[#This Row],[Byte8]],2,1)="1","Movimento","Parado")</f>
        <v>Parado</v>
      </c>
      <c r="P11" s="1" t="str">
        <f>IF(MID(Tab_Payload3[[#This Row],[Byte0]],6,1)="1","Carga Baixa","Com Carga")</f>
        <v>Com Carga</v>
      </c>
      <c r="Q11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1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1" s="8" t="str">
        <f>HYPERLINK("http://maps.google.com/maps?q="&amp;CONCATENATE(Tab_Payload3[[#This Row],[Latitude]], ",", Tab_Payload3[[#This Row],[Longitude]]),"Google Map")</f>
        <v>Google Map</v>
      </c>
      <c r="T11" s="1" t="str">
        <f>IF(MID(Tab_Payload3[[#This Row],[Byte0]],5,1)="0","Yes","No")</f>
        <v>Yes</v>
      </c>
      <c r="U11" s="1" t="str">
        <f>MID(Tab_Payload3[[#This Row],[Byte0]],3,2)</f>
        <v>00</v>
      </c>
      <c r="V11" s="1">
        <f>BIN2DEC(MID(Tab_Payload3[[#This Row],[Byte0]],1,2))</f>
        <v>0</v>
      </c>
      <c r="W11" s="1" t="str">
        <f>IF(MID(Tab_Payload3[[#This Row],[Byte7]],8,1)="1","Yes","No")</f>
        <v>No</v>
      </c>
      <c r="X11" s="1" t="str">
        <f>IF(MID(Tab_Payload3[[#This Row],[Byte7]],6,1)="1","Yes","No")</f>
        <v>No</v>
      </c>
      <c r="Y11" s="1" t="str">
        <f>MID(Tab_Payload3[[#This Row],[Byte8]],1,1)</f>
        <v>0</v>
      </c>
      <c r="Z11" s="1" t="str">
        <f>MID(Tab_Payload3[[#This Row],[Byte8]],3,1)</f>
        <v>0</v>
      </c>
      <c r="AA11" s="1" t="str">
        <f>MID(Tab_Payload3[[#This Row],[Byte8]],4,1)</f>
        <v>0</v>
      </c>
      <c r="AB11" s="1" t="str">
        <f>MID(Tab_Payload3[[#This Row],[Byte8]],5,1)</f>
        <v>0</v>
      </c>
    </row>
    <row r="12" spans="1:28" x14ac:dyDescent="0.45">
      <c r="A12" s="2"/>
      <c r="B12" s="2"/>
      <c r="C12" s="2"/>
      <c r="D12" s="1" t="str">
        <f t="shared" si="0"/>
        <v>00000000</v>
      </c>
      <c r="E12" s="1" t="str">
        <f t="shared" si="1"/>
        <v/>
      </c>
      <c r="F12" s="1" t="str">
        <f t="shared" si="2"/>
        <v/>
      </c>
      <c r="G12" s="1" t="str">
        <f t="shared" si="3"/>
        <v>00000000</v>
      </c>
      <c r="H12" s="1" t="str">
        <f t="shared" si="4"/>
        <v>00000000</v>
      </c>
      <c r="I12" s="3" t="e">
        <f t="shared" si="5"/>
        <v>#VALUE!</v>
      </c>
      <c r="J12" s="4" t="e">
        <f t="shared" si="6"/>
        <v>#VALUE!</v>
      </c>
      <c r="K12" s="1" t="str" cm="1">
        <f t="array" ref="K12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2" s="1" t="str" cm="1">
        <f t="array" ref="L12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2" s="1" t="str">
        <f>IF(MID(Tab_Payload3[[#This Row],[Byte7]],7,1)="1","Desligado","Ligado")</f>
        <v>Ligado</v>
      </c>
      <c r="N12" s="1" t="str">
        <f>IF(MID(Tab_Payload3[[#This Row],[Byte7]],5,1)="1","Desativado","Acionado")</f>
        <v>Acionado</v>
      </c>
      <c r="O12" s="1" t="str">
        <f>IF(MID(Tab_Payload3[[#This Row],[Byte8]],2,1)="1","Movimento","Parado")</f>
        <v>Parado</v>
      </c>
      <c r="P12" s="1" t="str">
        <f>IF(MID(Tab_Payload3[[#This Row],[Byte0]],6,1)="1","Carga Baixa","Com Carga")</f>
        <v>Com Carga</v>
      </c>
      <c r="Q12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2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2" s="8" t="str">
        <f>HYPERLINK("http://maps.google.com/maps?q="&amp;CONCATENATE(Tab_Payload3[[#This Row],[Latitude]], ",", Tab_Payload3[[#This Row],[Longitude]]),"Google Map")</f>
        <v>Google Map</v>
      </c>
      <c r="T12" s="1" t="str">
        <f>IF(MID(Tab_Payload3[[#This Row],[Byte0]],5,1)="0","Yes","No")</f>
        <v>Yes</v>
      </c>
      <c r="U12" s="1" t="str">
        <f>MID(Tab_Payload3[[#This Row],[Byte0]],3,2)</f>
        <v>00</v>
      </c>
      <c r="V12" s="1">
        <f>BIN2DEC(MID(Tab_Payload3[[#This Row],[Byte0]],1,2))</f>
        <v>0</v>
      </c>
      <c r="W12" s="1" t="str">
        <f>IF(MID(Tab_Payload3[[#This Row],[Byte7]],8,1)="1","Yes","No")</f>
        <v>No</v>
      </c>
      <c r="X12" s="1" t="str">
        <f>IF(MID(Tab_Payload3[[#This Row],[Byte7]],6,1)="1","Yes","No")</f>
        <v>No</v>
      </c>
      <c r="Y12" s="1" t="str">
        <f>MID(Tab_Payload3[[#This Row],[Byte8]],1,1)</f>
        <v>0</v>
      </c>
      <c r="Z12" s="1" t="str">
        <f>MID(Tab_Payload3[[#This Row],[Byte8]],3,1)</f>
        <v>0</v>
      </c>
      <c r="AA12" s="1" t="str">
        <f>MID(Tab_Payload3[[#This Row],[Byte8]],4,1)</f>
        <v>0</v>
      </c>
      <c r="AB12" s="1" t="str">
        <f>MID(Tab_Payload3[[#This Row],[Byte8]],5,1)</f>
        <v>0</v>
      </c>
    </row>
    <row r="13" spans="1:28" x14ac:dyDescent="0.45">
      <c r="A13" s="2"/>
      <c r="B13" s="2"/>
      <c r="C13" s="2"/>
      <c r="D13" s="1" t="str">
        <f t="shared" si="0"/>
        <v>00000000</v>
      </c>
      <c r="E13" s="1" t="str">
        <f t="shared" si="1"/>
        <v/>
      </c>
      <c r="F13" s="1" t="str">
        <f t="shared" si="2"/>
        <v/>
      </c>
      <c r="G13" s="1" t="str">
        <f t="shared" si="3"/>
        <v>00000000</v>
      </c>
      <c r="H13" s="1" t="str">
        <f t="shared" si="4"/>
        <v>00000000</v>
      </c>
      <c r="I13" s="3" t="e">
        <f t="shared" si="5"/>
        <v>#VALUE!</v>
      </c>
      <c r="J13" s="4" t="e">
        <f t="shared" si="6"/>
        <v>#VALUE!</v>
      </c>
      <c r="K13" s="1" t="str" cm="1">
        <f t="array" ref="K13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3" s="1" t="str" cm="1">
        <f t="array" ref="L13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3" s="1" t="str">
        <f>IF(MID(Tab_Payload3[[#This Row],[Byte7]],7,1)="1","Desligado","Ligado")</f>
        <v>Ligado</v>
      </c>
      <c r="N13" s="1" t="str">
        <f>IF(MID(Tab_Payload3[[#This Row],[Byte7]],5,1)="1","Desativado","Acionado")</f>
        <v>Acionado</v>
      </c>
      <c r="O13" s="1" t="str">
        <f>IF(MID(Tab_Payload3[[#This Row],[Byte8]],2,1)="1","Movimento","Parado")</f>
        <v>Parado</v>
      </c>
      <c r="P13" s="1" t="str">
        <f>IF(MID(Tab_Payload3[[#This Row],[Byte0]],6,1)="1","Carga Baixa","Com Carga")</f>
        <v>Com Carga</v>
      </c>
      <c r="Q13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3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3" s="8" t="str">
        <f>HYPERLINK("http://maps.google.com/maps?q="&amp;CONCATENATE(Tab_Payload3[[#This Row],[Latitude]], ",", Tab_Payload3[[#This Row],[Longitude]]),"Google Map")</f>
        <v>Google Map</v>
      </c>
      <c r="T13" s="1" t="str">
        <f>IF(MID(Tab_Payload3[[#This Row],[Byte0]],5,1)="0","Yes","No")</f>
        <v>Yes</v>
      </c>
      <c r="U13" s="1" t="str">
        <f>MID(Tab_Payload3[[#This Row],[Byte0]],3,2)</f>
        <v>00</v>
      </c>
      <c r="V13" s="1">
        <f>BIN2DEC(MID(Tab_Payload3[[#This Row],[Byte0]],1,2))</f>
        <v>0</v>
      </c>
      <c r="W13" s="1" t="str">
        <f>IF(MID(Tab_Payload3[[#This Row],[Byte7]],8,1)="1","Yes","No")</f>
        <v>No</v>
      </c>
      <c r="X13" s="1" t="str">
        <f>IF(MID(Tab_Payload3[[#This Row],[Byte7]],6,1)="1","Yes","No")</f>
        <v>No</v>
      </c>
      <c r="Y13" s="1" t="str">
        <f>MID(Tab_Payload3[[#This Row],[Byte8]],1,1)</f>
        <v>0</v>
      </c>
      <c r="Z13" s="1" t="str">
        <f>MID(Tab_Payload3[[#This Row],[Byte8]],3,1)</f>
        <v>0</v>
      </c>
      <c r="AA13" s="1" t="str">
        <f>MID(Tab_Payload3[[#This Row],[Byte8]],4,1)</f>
        <v>0</v>
      </c>
      <c r="AB13" s="1" t="str">
        <f>MID(Tab_Payload3[[#This Row],[Byte8]],5,1)</f>
        <v>0</v>
      </c>
    </row>
    <row r="14" spans="1:28" x14ac:dyDescent="0.45">
      <c r="A14" s="2"/>
      <c r="B14" s="2"/>
      <c r="C14" s="2"/>
      <c r="D14" s="1" t="str">
        <f t="shared" si="0"/>
        <v>00000000</v>
      </c>
      <c r="E14" s="1" t="str">
        <f t="shared" si="1"/>
        <v/>
      </c>
      <c r="F14" s="1" t="str">
        <f t="shared" si="2"/>
        <v/>
      </c>
      <c r="G14" s="1" t="str">
        <f t="shared" si="3"/>
        <v>00000000</v>
      </c>
      <c r="H14" s="1" t="str">
        <f t="shared" si="4"/>
        <v>00000000</v>
      </c>
      <c r="I14" s="3" t="e">
        <f t="shared" si="5"/>
        <v>#VALUE!</v>
      </c>
      <c r="J14" s="4" t="e">
        <f t="shared" si="6"/>
        <v>#VALUE!</v>
      </c>
      <c r="K14" s="1" t="str" cm="1">
        <f t="array" ref="K14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4" s="1" t="str" cm="1">
        <f t="array" ref="L14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4" s="1" t="str">
        <f>IF(MID(Tab_Payload3[[#This Row],[Byte7]],7,1)="1","Desligado","Ligado")</f>
        <v>Ligado</v>
      </c>
      <c r="N14" s="1" t="str">
        <f>IF(MID(Tab_Payload3[[#This Row],[Byte7]],5,1)="1","Desativado","Acionado")</f>
        <v>Acionado</v>
      </c>
      <c r="O14" s="1" t="str">
        <f>IF(MID(Tab_Payload3[[#This Row],[Byte8]],2,1)="1","Movimento","Parado")</f>
        <v>Parado</v>
      </c>
      <c r="P14" s="1" t="str">
        <f>IF(MID(Tab_Payload3[[#This Row],[Byte0]],6,1)="1","Carga Baixa","Com Carga")</f>
        <v>Com Carga</v>
      </c>
      <c r="Q14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4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4" s="8" t="str">
        <f>HYPERLINK("http://maps.google.com/maps?q="&amp;CONCATENATE(Tab_Payload3[[#This Row],[Latitude]], ",", Tab_Payload3[[#This Row],[Longitude]]),"Google Map")</f>
        <v>Google Map</v>
      </c>
      <c r="T14" s="1" t="str">
        <f>IF(MID(Tab_Payload3[[#This Row],[Byte0]],5,1)="0","Yes","No")</f>
        <v>Yes</v>
      </c>
      <c r="U14" s="1" t="str">
        <f>MID(Tab_Payload3[[#This Row],[Byte0]],3,2)</f>
        <v>00</v>
      </c>
      <c r="V14" s="1">
        <f>BIN2DEC(MID(Tab_Payload3[[#This Row],[Byte0]],1,2))</f>
        <v>0</v>
      </c>
      <c r="W14" s="1" t="str">
        <f>IF(MID(Tab_Payload3[[#This Row],[Byte7]],8,1)="1","Yes","No")</f>
        <v>No</v>
      </c>
      <c r="X14" s="1" t="str">
        <f>IF(MID(Tab_Payload3[[#This Row],[Byte7]],6,1)="1","Yes","No")</f>
        <v>No</v>
      </c>
      <c r="Y14" s="1" t="str">
        <f>MID(Tab_Payload3[[#This Row],[Byte8]],1,1)</f>
        <v>0</v>
      </c>
      <c r="Z14" s="1" t="str">
        <f>MID(Tab_Payload3[[#This Row],[Byte8]],3,1)</f>
        <v>0</v>
      </c>
      <c r="AA14" s="1" t="str">
        <f>MID(Tab_Payload3[[#This Row],[Byte8]],4,1)</f>
        <v>0</v>
      </c>
      <c r="AB14" s="1" t="str">
        <f>MID(Tab_Payload3[[#This Row],[Byte8]],5,1)</f>
        <v>0</v>
      </c>
    </row>
    <row r="15" spans="1:28" x14ac:dyDescent="0.45">
      <c r="A15" s="2"/>
      <c r="B15" s="2"/>
      <c r="C15" s="2"/>
      <c r="D15" s="1" t="str">
        <f t="shared" si="0"/>
        <v>00000000</v>
      </c>
      <c r="E15" s="1" t="str">
        <f t="shared" si="1"/>
        <v/>
      </c>
      <c r="F15" s="1" t="str">
        <f t="shared" si="2"/>
        <v/>
      </c>
      <c r="G15" s="1" t="str">
        <f t="shared" si="3"/>
        <v>00000000</v>
      </c>
      <c r="H15" s="1" t="str">
        <f t="shared" si="4"/>
        <v>00000000</v>
      </c>
      <c r="I15" s="3" t="e">
        <f t="shared" si="5"/>
        <v>#VALUE!</v>
      </c>
      <c r="J15" s="4" t="e">
        <f t="shared" si="6"/>
        <v>#VALUE!</v>
      </c>
      <c r="K15" s="1" t="str" cm="1">
        <f t="array" ref="K15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5" s="1" t="str" cm="1">
        <f t="array" ref="L15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5" s="1" t="str">
        <f>IF(MID(Tab_Payload3[[#This Row],[Byte7]],7,1)="1","Desligado","Ligado")</f>
        <v>Ligado</v>
      </c>
      <c r="N15" s="1" t="str">
        <f>IF(MID(Tab_Payload3[[#This Row],[Byte7]],5,1)="1","Desativado","Acionado")</f>
        <v>Acionado</v>
      </c>
      <c r="O15" s="1" t="str">
        <f>IF(MID(Tab_Payload3[[#This Row],[Byte8]],2,1)="1","Movimento","Parado")</f>
        <v>Parado</v>
      </c>
      <c r="P15" s="1" t="str">
        <f>IF(MID(Tab_Payload3[[#This Row],[Byte0]],6,1)="1","Carga Baixa","Com Carga")</f>
        <v>Com Carga</v>
      </c>
      <c r="Q15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5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5" s="8" t="str">
        <f>HYPERLINK("http://maps.google.com/maps?q="&amp;CONCATENATE(Tab_Payload3[[#This Row],[Latitude]], ",", Tab_Payload3[[#This Row],[Longitude]]),"Google Map")</f>
        <v>Google Map</v>
      </c>
      <c r="T15" s="1" t="str">
        <f>IF(MID(Tab_Payload3[[#This Row],[Byte0]],5,1)="0","Yes","No")</f>
        <v>Yes</v>
      </c>
      <c r="U15" s="1" t="str">
        <f>MID(Tab_Payload3[[#This Row],[Byte0]],3,2)</f>
        <v>00</v>
      </c>
      <c r="V15" s="1">
        <f>BIN2DEC(MID(Tab_Payload3[[#This Row],[Byte0]],1,2))</f>
        <v>0</v>
      </c>
      <c r="W15" s="1" t="str">
        <f>IF(MID(Tab_Payload3[[#This Row],[Byte7]],8,1)="1","Yes","No")</f>
        <v>No</v>
      </c>
      <c r="X15" s="1" t="str">
        <f>IF(MID(Tab_Payload3[[#This Row],[Byte7]],6,1)="1","Yes","No")</f>
        <v>No</v>
      </c>
      <c r="Y15" s="1" t="str">
        <f>MID(Tab_Payload3[[#This Row],[Byte8]],1,1)</f>
        <v>0</v>
      </c>
      <c r="Z15" s="1" t="str">
        <f>MID(Tab_Payload3[[#This Row],[Byte8]],3,1)</f>
        <v>0</v>
      </c>
      <c r="AA15" s="1" t="str">
        <f>MID(Tab_Payload3[[#This Row],[Byte8]],4,1)</f>
        <v>0</v>
      </c>
      <c r="AB15" s="1" t="str">
        <f>MID(Tab_Payload3[[#This Row],[Byte8]],5,1)</f>
        <v>0</v>
      </c>
    </row>
    <row r="16" spans="1:28" x14ac:dyDescent="0.45">
      <c r="A16" s="2"/>
      <c r="B16" s="2"/>
      <c r="C16" s="2"/>
      <c r="D16" s="1" t="str">
        <f t="shared" si="0"/>
        <v>00000000</v>
      </c>
      <c r="E16" s="1" t="str">
        <f t="shared" si="1"/>
        <v/>
      </c>
      <c r="F16" s="1" t="str">
        <f t="shared" si="2"/>
        <v/>
      </c>
      <c r="G16" s="1" t="str">
        <f t="shared" si="3"/>
        <v>00000000</v>
      </c>
      <c r="H16" s="1" t="str">
        <f t="shared" si="4"/>
        <v>00000000</v>
      </c>
      <c r="I16" s="3" t="e">
        <f t="shared" si="5"/>
        <v>#VALUE!</v>
      </c>
      <c r="J16" s="4" t="e">
        <f t="shared" si="6"/>
        <v>#VALUE!</v>
      </c>
      <c r="K16" s="1" t="str" cm="1">
        <f t="array" ref="K16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6" s="1" t="str" cm="1">
        <f t="array" ref="L16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6" s="1" t="str">
        <f>IF(MID(Tab_Payload3[[#This Row],[Byte7]],7,1)="1","Desligado","Ligado")</f>
        <v>Ligado</v>
      </c>
      <c r="N16" s="1" t="str">
        <f>IF(MID(Tab_Payload3[[#This Row],[Byte7]],5,1)="1","Desativado","Acionado")</f>
        <v>Acionado</v>
      </c>
      <c r="O16" s="1" t="str">
        <f>IF(MID(Tab_Payload3[[#This Row],[Byte8]],2,1)="1","Movimento","Parado")</f>
        <v>Parado</v>
      </c>
      <c r="P16" s="1" t="str">
        <f>IF(MID(Tab_Payload3[[#This Row],[Byte0]],6,1)="1","Carga Baixa","Com Carga")</f>
        <v>Com Carga</v>
      </c>
      <c r="Q16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6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6" s="8" t="str">
        <f>HYPERLINK("http://maps.google.com/maps?q="&amp;CONCATENATE(Tab_Payload3[[#This Row],[Latitude]], ",", Tab_Payload3[[#This Row],[Longitude]]),"Google Map")</f>
        <v>Google Map</v>
      </c>
      <c r="T16" s="1" t="str">
        <f>IF(MID(Tab_Payload3[[#This Row],[Byte0]],5,1)="0","Yes","No")</f>
        <v>Yes</v>
      </c>
      <c r="U16" s="1" t="str">
        <f>MID(Tab_Payload3[[#This Row],[Byte0]],3,2)</f>
        <v>00</v>
      </c>
      <c r="V16" s="1">
        <f>BIN2DEC(MID(Tab_Payload3[[#This Row],[Byte0]],1,2))</f>
        <v>0</v>
      </c>
      <c r="W16" s="1" t="str">
        <f>IF(MID(Tab_Payload3[[#This Row],[Byte7]],8,1)="1","Yes","No")</f>
        <v>No</v>
      </c>
      <c r="X16" s="1" t="str">
        <f>IF(MID(Tab_Payload3[[#This Row],[Byte7]],6,1)="1","Yes","No")</f>
        <v>No</v>
      </c>
      <c r="Y16" s="1" t="str">
        <f>MID(Tab_Payload3[[#This Row],[Byte8]],1,1)</f>
        <v>0</v>
      </c>
      <c r="Z16" s="1" t="str">
        <f>MID(Tab_Payload3[[#This Row],[Byte8]],3,1)</f>
        <v>0</v>
      </c>
      <c r="AA16" s="1" t="str">
        <f>MID(Tab_Payload3[[#This Row],[Byte8]],4,1)</f>
        <v>0</v>
      </c>
      <c r="AB16" s="1" t="str">
        <f>MID(Tab_Payload3[[#This Row],[Byte8]],5,1)</f>
        <v>0</v>
      </c>
    </row>
    <row r="17" spans="1:28" x14ac:dyDescent="0.45">
      <c r="A17" s="2"/>
      <c r="B17" s="2"/>
      <c r="C17" s="2"/>
      <c r="D17" s="1" t="str">
        <f t="shared" si="0"/>
        <v>00000000</v>
      </c>
      <c r="E17" s="1" t="str">
        <f t="shared" si="1"/>
        <v/>
      </c>
      <c r="F17" s="1" t="str">
        <f t="shared" si="2"/>
        <v/>
      </c>
      <c r="G17" s="1" t="str">
        <f t="shared" si="3"/>
        <v>00000000</v>
      </c>
      <c r="H17" s="1" t="str">
        <f t="shared" si="4"/>
        <v>00000000</v>
      </c>
      <c r="I17" s="3" t="e">
        <f t="shared" si="5"/>
        <v>#VALUE!</v>
      </c>
      <c r="J17" s="4" t="e">
        <f t="shared" si="6"/>
        <v>#VALUE!</v>
      </c>
      <c r="K17" s="1" t="str" cm="1">
        <f t="array" ref="K17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7" s="1" t="str" cm="1">
        <f t="array" ref="L17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7" s="1" t="str">
        <f>IF(MID(Tab_Payload3[[#This Row],[Byte7]],7,1)="1","Desligado","Ligado")</f>
        <v>Ligado</v>
      </c>
      <c r="N17" s="1" t="str">
        <f>IF(MID(Tab_Payload3[[#This Row],[Byte7]],5,1)="1","Desativado","Acionado")</f>
        <v>Acionado</v>
      </c>
      <c r="O17" s="1" t="str">
        <f>IF(MID(Tab_Payload3[[#This Row],[Byte8]],2,1)="1","Movimento","Parado")</f>
        <v>Parado</v>
      </c>
      <c r="P17" s="1" t="str">
        <f>IF(MID(Tab_Payload3[[#This Row],[Byte0]],6,1)="1","Carga Baixa","Com Carga")</f>
        <v>Com Carga</v>
      </c>
      <c r="Q17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7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7" s="8" t="str">
        <f>HYPERLINK("http://maps.google.com/maps?q="&amp;CONCATENATE(Tab_Payload3[[#This Row],[Latitude]], ",", Tab_Payload3[[#This Row],[Longitude]]),"Google Map")</f>
        <v>Google Map</v>
      </c>
      <c r="T17" s="1" t="str">
        <f>IF(MID(Tab_Payload3[[#This Row],[Byte0]],5,1)="0","Yes","No")</f>
        <v>Yes</v>
      </c>
      <c r="U17" s="1" t="str">
        <f>MID(Tab_Payload3[[#This Row],[Byte0]],3,2)</f>
        <v>00</v>
      </c>
      <c r="V17" s="1">
        <f>BIN2DEC(MID(Tab_Payload3[[#This Row],[Byte0]],1,2))</f>
        <v>0</v>
      </c>
      <c r="W17" s="1" t="str">
        <f>IF(MID(Tab_Payload3[[#This Row],[Byte7]],8,1)="1","Yes","No")</f>
        <v>No</v>
      </c>
      <c r="X17" s="1" t="str">
        <f>IF(MID(Tab_Payload3[[#This Row],[Byte7]],6,1)="1","Yes","No")</f>
        <v>No</v>
      </c>
      <c r="Y17" s="1" t="str">
        <f>MID(Tab_Payload3[[#This Row],[Byte8]],1,1)</f>
        <v>0</v>
      </c>
      <c r="Z17" s="1" t="str">
        <f>MID(Tab_Payload3[[#This Row],[Byte8]],3,1)</f>
        <v>0</v>
      </c>
      <c r="AA17" s="1" t="str">
        <f>MID(Tab_Payload3[[#This Row],[Byte8]],4,1)</f>
        <v>0</v>
      </c>
      <c r="AB17" s="1" t="str">
        <f>MID(Tab_Payload3[[#This Row],[Byte8]],5,1)</f>
        <v>0</v>
      </c>
    </row>
    <row r="18" spans="1:28" x14ac:dyDescent="0.45">
      <c r="A18" s="2"/>
      <c r="B18" s="2"/>
      <c r="C18" s="2"/>
      <c r="D18" s="1" t="str">
        <f t="shared" si="0"/>
        <v>00000000</v>
      </c>
      <c r="E18" s="1" t="str">
        <f t="shared" si="1"/>
        <v/>
      </c>
      <c r="F18" s="1" t="str">
        <f t="shared" si="2"/>
        <v/>
      </c>
      <c r="G18" s="1" t="str">
        <f t="shared" si="3"/>
        <v>00000000</v>
      </c>
      <c r="H18" s="1" t="str">
        <f t="shared" si="4"/>
        <v>00000000</v>
      </c>
      <c r="I18" s="3" t="e">
        <f t="shared" si="5"/>
        <v>#VALUE!</v>
      </c>
      <c r="J18" s="4" t="e">
        <f t="shared" si="6"/>
        <v>#VALUE!</v>
      </c>
      <c r="K18" s="1" t="str" cm="1">
        <f t="array" ref="K18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8" s="1" t="str" cm="1">
        <f t="array" ref="L18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8" s="1" t="str">
        <f>IF(MID(Tab_Payload3[[#This Row],[Byte7]],7,1)="1","Desligado","Ligado")</f>
        <v>Ligado</v>
      </c>
      <c r="N18" s="1" t="str">
        <f>IF(MID(Tab_Payload3[[#This Row],[Byte7]],5,1)="1","Desativado","Acionado")</f>
        <v>Acionado</v>
      </c>
      <c r="O18" s="1" t="str">
        <f>IF(MID(Tab_Payload3[[#This Row],[Byte8]],2,1)="1","Movimento","Parado")</f>
        <v>Parado</v>
      </c>
      <c r="P18" s="1" t="str">
        <f>IF(MID(Tab_Payload3[[#This Row],[Byte0]],6,1)="1","Carga Baixa","Com Carga")</f>
        <v>Com Carga</v>
      </c>
      <c r="Q18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8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8" s="8" t="str">
        <f>HYPERLINK("http://maps.google.com/maps?q="&amp;CONCATENATE(Tab_Payload3[[#This Row],[Latitude]], ",", Tab_Payload3[[#This Row],[Longitude]]),"Google Map")</f>
        <v>Google Map</v>
      </c>
      <c r="T18" s="1" t="str">
        <f>IF(MID(Tab_Payload3[[#This Row],[Byte0]],5,1)="0","Yes","No")</f>
        <v>Yes</v>
      </c>
      <c r="U18" s="1" t="str">
        <f>MID(Tab_Payload3[[#This Row],[Byte0]],3,2)</f>
        <v>00</v>
      </c>
      <c r="V18" s="1">
        <f>BIN2DEC(MID(Tab_Payload3[[#This Row],[Byte0]],1,2))</f>
        <v>0</v>
      </c>
      <c r="W18" s="1" t="str">
        <f>IF(MID(Tab_Payload3[[#This Row],[Byte7]],8,1)="1","Yes","No")</f>
        <v>No</v>
      </c>
      <c r="X18" s="1" t="str">
        <f>IF(MID(Tab_Payload3[[#This Row],[Byte7]],6,1)="1","Yes","No")</f>
        <v>No</v>
      </c>
      <c r="Y18" s="1" t="str">
        <f>MID(Tab_Payload3[[#This Row],[Byte8]],1,1)</f>
        <v>0</v>
      </c>
      <c r="Z18" s="1" t="str">
        <f>MID(Tab_Payload3[[#This Row],[Byte8]],3,1)</f>
        <v>0</v>
      </c>
      <c r="AA18" s="1" t="str">
        <f>MID(Tab_Payload3[[#This Row],[Byte8]],4,1)</f>
        <v>0</v>
      </c>
      <c r="AB18" s="1" t="str">
        <f>MID(Tab_Payload3[[#This Row],[Byte8]],5,1)</f>
        <v>0</v>
      </c>
    </row>
    <row r="19" spans="1:28" x14ac:dyDescent="0.45">
      <c r="A19" s="2"/>
      <c r="B19" s="2"/>
      <c r="C19" s="2"/>
      <c r="D19" s="1" t="str">
        <f t="shared" si="0"/>
        <v>00000000</v>
      </c>
      <c r="E19" s="1" t="str">
        <f t="shared" si="1"/>
        <v/>
      </c>
      <c r="F19" s="1" t="str">
        <f t="shared" si="2"/>
        <v/>
      </c>
      <c r="G19" s="1" t="str">
        <f t="shared" si="3"/>
        <v>00000000</v>
      </c>
      <c r="H19" s="1" t="str">
        <f t="shared" si="4"/>
        <v>00000000</v>
      </c>
      <c r="I19" s="3" t="e">
        <f t="shared" si="5"/>
        <v>#VALUE!</v>
      </c>
      <c r="J19" s="4" t="e">
        <f t="shared" si="6"/>
        <v>#VALUE!</v>
      </c>
      <c r="K19" s="1" t="str" cm="1">
        <f t="array" ref="K19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19" s="1" t="str" cm="1">
        <f t="array" ref="L19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19" s="1" t="str">
        <f>IF(MID(Tab_Payload3[[#This Row],[Byte7]],7,1)="1","Desligado","Ligado")</f>
        <v>Ligado</v>
      </c>
      <c r="N19" s="1" t="str">
        <f>IF(MID(Tab_Payload3[[#This Row],[Byte7]],5,1)="1","Desativado","Acionado")</f>
        <v>Acionado</v>
      </c>
      <c r="O19" s="1" t="str">
        <f>IF(MID(Tab_Payload3[[#This Row],[Byte8]],2,1)="1","Movimento","Parado")</f>
        <v>Parado</v>
      </c>
      <c r="P19" s="1" t="str">
        <f>IF(MID(Tab_Payload3[[#This Row],[Byte0]],6,1)="1","Carga Baixa","Com Carga")</f>
        <v>Com Carga</v>
      </c>
      <c r="Q19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19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19" s="8" t="str">
        <f>HYPERLINK("http://maps.google.com/maps?q="&amp;CONCATENATE(Tab_Payload3[[#This Row],[Latitude]], ",", Tab_Payload3[[#This Row],[Longitude]]),"Google Map")</f>
        <v>Google Map</v>
      </c>
      <c r="T19" s="1" t="str">
        <f>IF(MID(Tab_Payload3[[#This Row],[Byte0]],5,1)="0","Yes","No")</f>
        <v>Yes</v>
      </c>
      <c r="U19" s="1" t="str">
        <f>MID(Tab_Payload3[[#This Row],[Byte0]],3,2)</f>
        <v>00</v>
      </c>
      <c r="V19" s="1">
        <f>BIN2DEC(MID(Tab_Payload3[[#This Row],[Byte0]],1,2))</f>
        <v>0</v>
      </c>
      <c r="W19" s="1" t="str">
        <f>IF(MID(Tab_Payload3[[#This Row],[Byte7]],8,1)="1","Yes","No")</f>
        <v>No</v>
      </c>
      <c r="X19" s="1" t="str">
        <f>IF(MID(Tab_Payload3[[#This Row],[Byte7]],6,1)="1","Yes","No")</f>
        <v>No</v>
      </c>
      <c r="Y19" s="1" t="str">
        <f>MID(Tab_Payload3[[#This Row],[Byte8]],1,1)</f>
        <v>0</v>
      </c>
      <c r="Z19" s="1" t="str">
        <f>MID(Tab_Payload3[[#This Row],[Byte8]],3,1)</f>
        <v>0</v>
      </c>
      <c r="AA19" s="1" t="str">
        <f>MID(Tab_Payload3[[#This Row],[Byte8]],4,1)</f>
        <v>0</v>
      </c>
      <c r="AB19" s="1" t="str">
        <f>MID(Tab_Payload3[[#This Row],[Byte8]],5,1)</f>
        <v>0</v>
      </c>
    </row>
    <row r="20" spans="1:28" x14ac:dyDescent="0.45">
      <c r="A20" s="2"/>
      <c r="B20" s="2"/>
      <c r="C20" s="2"/>
      <c r="D20" s="1" t="str">
        <f t="shared" si="0"/>
        <v>00000000</v>
      </c>
      <c r="E20" s="1" t="str">
        <f t="shared" si="1"/>
        <v/>
      </c>
      <c r="F20" s="1" t="str">
        <f t="shared" si="2"/>
        <v/>
      </c>
      <c r="G20" s="1" t="str">
        <f t="shared" si="3"/>
        <v>00000000</v>
      </c>
      <c r="H20" s="1" t="str">
        <f t="shared" si="4"/>
        <v>00000000</v>
      </c>
      <c r="I20" s="3" t="e">
        <f t="shared" si="5"/>
        <v>#VALUE!</v>
      </c>
      <c r="J20" s="4" t="e">
        <f t="shared" si="6"/>
        <v>#VALUE!</v>
      </c>
      <c r="K20" s="1" t="str" cm="1">
        <f t="array" ref="K20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0" s="1" t="str" cm="1">
        <f t="array" ref="L20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0" s="1" t="str">
        <f>IF(MID(Tab_Payload3[[#This Row],[Byte7]],7,1)="1","Desligado","Ligado")</f>
        <v>Ligado</v>
      </c>
      <c r="N20" s="1" t="str">
        <f>IF(MID(Tab_Payload3[[#This Row],[Byte7]],5,1)="1","Desativado","Acionado")</f>
        <v>Acionado</v>
      </c>
      <c r="O20" s="1" t="str">
        <f>IF(MID(Tab_Payload3[[#This Row],[Byte8]],2,1)="1","Movimento","Parado")</f>
        <v>Parado</v>
      </c>
      <c r="P20" s="1" t="str">
        <f>IF(MID(Tab_Payload3[[#This Row],[Byte0]],6,1)="1","Carga Baixa","Com Carga")</f>
        <v>Com Carga</v>
      </c>
      <c r="Q20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0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0" s="8" t="str">
        <f>HYPERLINK("http://maps.google.com/maps?q="&amp;CONCATENATE(Tab_Payload3[[#This Row],[Latitude]], ",", Tab_Payload3[[#This Row],[Longitude]]),"Google Map")</f>
        <v>Google Map</v>
      </c>
      <c r="T20" s="1" t="str">
        <f>IF(MID(Tab_Payload3[[#This Row],[Byte0]],5,1)="0","Yes","No")</f>
        <v>Yes</v>
      </c>
      <c r="U20" s="1" t="str">
        <f>MID(Tab_Payload3[[#This Row],[Byte0]],3,2)</f>
        <v>00</v>
      </c>
      <c r="V20" s="1">
        <f>BIN2DEC(MID(Tab_Payload3[[#This Row],[Byte0]],1,2))</f>
        <v>0</v>
      </c>
      <c r="W20" s="1" t="str">
        <f>IF(MID(Tab_Payload3[[#This Row],[Byte7]],8,1)="1","Yes","No")</f>
        <v>No</v>
      </c>
      <c r="X20" s="1" t="str">
        <f>IF(MID(Tab_Payload3[[#This Row],[Byte7]],6,1)="1","Yes","No")</f>
        <v>No</v>
      </c>
      <c r="Y20" s="1" t="str">
        <f>MID(Tab_Payload3[[#This Row],[Byte8]],1,1)</f>
        <v>0</v>
      </c>
      <c r="Z20" s="1" t="str">
        <f>MID(Tab_Payload3[[#This Row],[Byte8]],3,1)</f>
        <v>0</v>
      </c>
      <c r="AA20" s="1" t="str">
        <f>MID(Tab_Payload3[[#This Row],[Byte8]],4,1)</f>
        <v>0</v>
      </c>
      <c r="AB20" s="1" t="str">
        <f>MID(Tab_Payload3[[#This Row],[Byte8]],5,1)</f>
        <v>0</v>
      </c>
    </row>
    <row r="21" spans="1:28" x14ac:dyDescent="0.45">
      <c r="A21" s="2"/>
      <c r="B21" s="2"/>
      <c r="C21" s="2"/>
      <c r="D21" s="1" t="str">
        <f t="shared" si="0"/>
        <v>00000000</v>
      </c>
      <c r="E21" s="1" t="str">
        <f t="shared" si="1"/>
        <v/>
      </c>
      <c r="F21" s="1" t="str">
        <f t="shared" si="2"/>
        <v/>
      </c>
      <c r="G21" s="1" t="str">
        <f t="shared" si="3"/>
        <v>00000000</v>
      </c>
      <c r="H21" s="1" t="str">
        <f t="shared" si="4"/>
        <v>00000000</v>
      </c>
      <c r="I21" s="3" t="e">
        <f t="shared" si="5"/>
        <v>#VALUE!</v>
      </c>
      <c r="J21" s="4" t="e">
        <f t="shared" si="6"/>
        <v>#VALUE!</v>
      </c>
      <c r="K21" s="1" t="str" cm="1">
        <f t="array" ref="K21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1" s="1" t="str" cm="1">
        <f t="array" ref="L21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1" s="1" t="str">
        <f>IF(MID(Tab_Payload3[[#This Row],[Byte7]],7,1)="1","Desligado","Ligado")</f>
        <v>Ligado</v>
      </c>
      <c r="N21" s="1" t="str">
        <f>IF(MID(Tab_Payload3[[#This Row],[Byte7]],5,1)="1","Desativado","Acionado")</f>
        <v>Acionado</v>
      </c>
      <c r="O21" s="1" t="str">
        <f>IF(MID(Tab_Payload3[[#This Row],[Byte8]],2,1)="1","Movimento","Parado")</f>
        <v>Parado</v>
      </c>
      <c r="P21" s="1" t="str">
        <f>IF(MID(Tab_Payload3[[#This Row],[Byte0]],6,1)="1","Carga Baixa","Com Carga")</f>
        <v>Com Carga</v>
      </c>
      <c r="Q21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1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1" s="8" t="str">
        <f>HYPERLINK("http://maps.google.com/maps?q="&amp;CONCATENATE(Tab_Payload3[[#This Row],[Latitude]], ",", Tab_Payload3[[#This Row],[Longitude]]),"Google Map")</f>
        <v>Google Map</v>
      </c>
      <c r="T21" s="1" t="str">
        <f>IF(MID(Tab_Payload3[[#This Row],[Byte0]],5,1)="0","Yes","No")</f>
        <v>Yes</v>
      </c>
      <c r="U21" s="1" t="str">
        <f>MID(Tab_Payload3[[#This Row],[Byte0]],3,2)</f>
        <v>00</v>
      </c>
      <c r="V21" s="1">
        <f>BIN2DEC(MID(Tab_Payload3[[#This Row],[Byte0]],1,2))</f>
        <v>0</v>
      </c>
      <c r="W21" s="1" t="str">
        <f>IF(MID(Tab_Payload3[[#This Row],[Byte7]],8,1)="1","Yes","No")</f>
        <v>No</v>
      </c>
      <c r="X21" s="1" t="str">
        <f>IF(MID(Tab_Payload3[[#This Row],[Byte7]],6,1)="1","Yes","No")</f>
        <v>No</v>
      </c>
      <c r="Y21" s="1" t="str">
        <f>MID(Tab_Payload3[[#This Row],[Byte8]],1,1)</f>
        <v>0</v>
      </c>
      <c r="Z21" s="1" t="str">
        <f>MID(Tab_Payload3[[#This Row],[Byte8]],3,1)</f>
        <v>0</v>
      </c>
      <c r="AA21" s="1" t="str">
        <f>MID(Tab_Payload3[[#This Row],[Byte8]],4,1)</f>
        <v>0</v>
      </c>
      <c r="AB21" s="1" t="str">
        <f>MID(Tab_Payload3[[#This Row],[Byte8]],5,1)</f>
        <v>0</v>
      </c>
    </row>
    <row r="22" spans="1:28" x14ac:dyDescent="0.45">
      <c r="A22" s="2"/>
      <c r="B22" s="2"/>
      <c r="C22" s="2"/>
      <c r="D22" s="1" t="str">
        <f t="shared" si="0"/>
        <v>00000000</v>
      </c>
      <c r="E22" s="1" t="str">
        <f t="shared" si="1"/>
        <v/>
      </c>
      <c r="F22" s="1" t="str">
        <f t="shared" si="2"/>
        <v/>
      </c>
      <c r="G22" s="1" t="str">
        <f t="shared" si="3"/>
        <v>00000000</v>
      </c>
      <c r="H22" s="1" t="str">
        <f t="shared" si="4"/>
        <v>00000000</v>
      </c>
      <c r="I22" s="3" t="e">
        <f t="shared" si="5"/>
        <v>#VALUE!</v>
      </c>
      <c r="J22" s="4" t="e">
        <f t="shared" si="6"/>
        <v>#VALUE!</v>
      </c>
      <c r="K22" s="1" t="str" cm="1">
        <f t="array" ref="K22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2" s="1" t="str" cm="1">
        <f t="array" ref="L22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2" s="1" t="str">
        <f>IF(MID(Tab_Payload3[[#This Row],[Byte7]],7,1)="1","Desligado","Ligado")</f>
        <v>Ligado</v>
      </c>
      <c r="N22" s="1" t="str">
        <f>IF(MID(Tab_Payload3[[#This Row],[Byte7]],5,1)="1","Desativado","Acionado")</f>
        <v>Acionado</v>
      </c>
      <c r="O22" s="1" t="str">
        <f>IF(MID(Tab_Payload3[[#This Row],[Byte8]],2,1)="1","Movimento","Parado")</f>
        <v>Parado</v>
      </c>
      <c r="P22" s="1" t="str">
        <f>IF(MID(Tab_Payload3[[#This Row],[Byte0]],6,1)="1","Carga Baixa","Com Carga")</f>
        <v>Com Carga</v>
      </c>
      <c r="Q22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2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2" s="8" t="str">
        <f>HYPERLINK("http://maps.google.com/maps?q="&amp;CONCATENATE(Tab_Payload3[[#This Row],[Latitude]], ",", Tab_Payload3[[#This Row],[Longitude]]),"Google Map")</f>
        <v>Google Map</v>
      </c>
      <c r="T22" s="1" t="str">
        <f>IF(MID(Tab_Payload3[[#This Row],[Byte0]],5,1)="0","Yes","No")</f>
        <v>Yes</v>
      </c>
      <c r="U22" s="1" t="str">
        <f>MID(Tab_Payload3[[#This Row],[Byte0]],3,2)</f>
        <v>00</v>
      </c>
      <c r="V22" s="1">
        <f>BIN2DEC(MID(Tab_Payload3[[#This Row],[Byte0]],1,2))</f>
        <v>0</v>
      </c>
      <c r="W22" s="1" t="str">
        <f>IF(MID(Tab_Payload3[[#This Row],[Byte7]],8,1)="1","Yes","No")</f>
        <v>No</v>
      </c>
      <c r="X22" s="1" t="str">
        <f>IF(MID(Tab_Payload3[[#This Row],[Byte7]],6,1)="1","Yes","No")</f>
        <v>No</v>
      </c>
      <c r="Y22" s="1" t="str">
        <f>MID(Tab_Payload3[[#This Row],[Byte8]],1,1)</f>
        <v>0</v>
      </c>
      <c r="Z22" s="1" t="str">
        <f>MID(Tab_Payload3[[#This Row],[Byte8]],3,1)</f>
        <v>0</v>
      </c>
      <c r="AA22" s="1" t="str">
        <f>MID(Tab_Payload3[[#This Row],[Byte8]],4,1)</f>
        <v>0</v>
      </c>
      <c r="AB22" s="1" t="str">
        <f>MID(Tab_Payload3[[#This Row],[Byte8]],5,1)</f>
        <v>0</v>
      </c>
    </row>
    <row r="23" spans="1:28" x14ac:dyDescent="0.45">
      <c r="A23" s="2"/>
      <c r="B23" s="2"/>
      <c r="C23" s="2"/>
      <c r="D23" s="1" t="str">
        <f t="shared" si="0"/>
        <v>00000000</v>
      </c>
      <c r="E23" s="1" t="str">
        <f t="shared" si="1"/>
        <v/>
      </c>
      <c r="F23" s="1" t="str">
        <f t="shared" si="2"/>
        <v/>
      </c>
      <c r="G23" s="1" t="str">
        <f t="shared" si="3"/>
        <v>00000000</v>
      </c>
      <c r="H23" s="1" t="str">
        <f t="shared" si="4"/>
        <v>00000000</v>
      </c>
      <c r="I23" s="3" t="e">
        <f t="shared" si="5"/>
        <v>#VALUE!</v>
      </c>
      <c r="J23" s="4" t="e">
        <f t="shared" si="6"/>
        <v>#VALUE!</v>
      </c>
      <c r="K23" s="1" t="str" cm="1">
        <f t="array" ref="K23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3" s="1" t="str" cm="1">
        <f t="array" ref="L23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3" s="1" t="str">
        <f>IF(MID(Tab_Payload3[[#This Row],[Byte7]],7,1)="1","Desligado","Ligado")</f>
        <v>Ligado</v>
      </c>
      <c r="N23" s="1" t="str">
        <f>IF(MID(Tab_Payload3[[#This Row],[Byte7]],5,1)="1","Desativado","Acionado")</f>
        <v>Acionado</v>
      </c>
      <c r="O23" s="1" t="str">
        <f>IF(MID(Tab_Payload3[[#This Row],[Byte8]],2,1)="1","Movimento","Parado")</f>
        <v>Parado</v>
      </c>
      <c r="P23" s="1" t="str">
        <f>IF(MID(Tab_Payload3[[#This Row],[Byte0]],6,1)="1","Carga Baixa","Com Carga")</f>
        <v>Com Carga</v>
      </c>
      <c r="Q23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3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3" s="8" t="str">
        <f>HYPERLINK("http://maps.google.com/maps?q="&amp;CONCATENATE(Tab_Payload3[[#This Row],[Latitude]], ",", Tab_Payload3[[#This Row],[Longitude]]),"Google Map")</f>
        <v>Google Map</v>
      </c>
      <c r="T23" s="1" t="str">
        <f>IF(MID(Tab_Payload3[[#This Row],[Byte0]],5,1)="0","Yes","No")</f>
        <v>Yes</v>
      </c>
      <c r="U23" s="1" t="str">
        <f>MID(Tab_Payload3[[#This Row],[Byte0]],3,2)</f>
        <v>00</v>
      </c>
      <c r="V23" s="1">
        <f>BIN2DEC(MID(Tab_Payload3[[#This Row],[Byte0]],1,2))</f>
        <v>0</v>
      </c>
      <c r="W23" s="1" t="str">
        <f>IF(MID(Tab_Payload3[[#This Row],[Byte7]],8,1)="1","Yes","No")</f>
        <v>No</v>
      </c>
      <c r="X23" s="1" t="str">
        <f>IF(MID(Tab_Payload3[[#This Row],[Byte7]],6,1)="1","Yes","No")</f>
        <v>No</v>
      </c>
      <c r="Y23" s="1" t="str">
        <f>MID(Tab_Payload3[[#This Row],[Byte8]],1,1)</f>
        <v>0</v>
      </c>
      <c r="Z23" s="1" t="str">
        <f>MID(Tab_Payload3[[#This Row],[Byte8]],3,1)</f>
        <v>0</v>
      </c>
      <c r="AA23" s="1" t="str">
        <f>MID(Tab_Payload3[[#This Row],[Byte8]],4,1)</f>
        <v>0</v>
      </c>
      <c r="AB23" s="1" t="str">
        <f>MID(Tab_Payload3[[#This Row],[Byte8]],5,1)</f>
        <v>0</v>
      </c>
    </row>
    <row r="24" spans="1:28" x14ac:dyDescent="0.45">
      <c r="A24" s="2"/>
      <c r="B24" s="2"/>
      <c r="C24" s="2"/>
      <c r="D24" s="1" t="str">
        <f t="shared" si="0"/>
        <v>00000000</v>
      </c>
      <c r="E24" s="1" t="str">
        <f t="shared" si="1"/>
        <v/>
      </c>
      <c r="F24" s="1" t="str">
        <f t="shared" si="2"/>
        <v/>
      </c>
      <c r="G24" s="1" t="str">
        <f t="shared" si="3"/>
        <v>00000000</v>
      </c>
      <c r="H24" s="1" t="str">
        <f t="shared" si="4"/>
        <v>00000000</v>
      </c>
      <c r="I24" s="3" t="e">
        <f t="shared" si="5"/>
        <v>#VALUE!</v>
      </c>
      <c r="J24" s="4" t="e">
        <f t="shared" si="6"/>
        <v>#VALUE!</v>
      </c>
      <c r="K24" s="1" t="str" cm="1">
        <f t="array" ref="K24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4" s="1" t="str" cm="1">
        <f t="array" ref="L24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4" s="1" t="str">
        <f>IF(MID(Tab_Payload3[[#This Row],[Byte7]],7,1)="1","Desligado","Ligado")</f>
        <v>Ligado</v>
      </c>
      <c r="N24" s="1" t="str">
        <f>IF(MID(Tab_Payload3[[#This Row],[Byte7]],5,1)="1","Desativado","Acionado")</f>
        <v>Acionado</v>
      </c>
      <c r="O24" s="1" t="str">
        <f>IF(MID(Tab_Payload3[[#This Row],[Byte8]],2,1)="1","Movimento","Parado")</f>
        <v>Parado</v>
      </c>
      <c r="P24" s="1" t="str">
        <f>IF(MID(Tab_Payload3[[#This Row],[Byte0]],6,1)="1","Carga Baixa","Com Carga")</f>
        <v>Com Carga</v>
      </c>
      <c r="Q24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4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4" s="8" t="str">
        <f>HYPERLINK("http://maps.google.com/maps?q="&amp;CONCATENATE(Tab_Payload3[[#This Row],[Latitude]], ",", Tab_Payload3[[#This Row],[Longitude]]),"Google Map")</f>
        <v>Google Map</v>
      </c>
      <c r="T24" s="1" t="str">
        <f>IF(MID(Tab_Payload3[[#This Row],[Byte0]],5,1)="0","Yes","No")</f>
        <v>Yes</v>
      </c>
      <c r="U24" s="1" t="str">
        <f>MID(Tab_Payload3[[#This Row],[Byte0]],3,2)</f>
        <v>00</v>
      </c>
      <c r="V24" s="1">
        <f>BIN2DEC(MID(Tab_Payload3[[#This Row],[Byte0]],1,2))</f>
        <v>0</v>
      </c>
      <c r="W24" s="1" t="str">
        <f>IF(MID(Tab_Payload3[[#This Row],[Byte7]],8,1)="1","Yes","No")</f>
        <v>No</v>
      </c>
      <c r="X24" s="1" t="str">
        <f>IF(MID(Tab_Payload3[[#This Row],[Byte7]],6,1)="1","Yes","No")</f>
        <v>No</v>
      </c>
      <c r="Y24" s="1" t="str">
        <f>MID(Tab_Payload3[[#This Row],[Byte8]],1,1)</f>
        <v>0</v>
      </c>
      <c r="Z24" s="1" t="str">
        <f>MID(Tab_Payload3[[#This Row],[Byte8]],3,1)</f>
        <v>0</v>
      </c>
      <c r="AA24" s="1" t="str">
        <f>MID(Tab_Payload3[[#This Row],[Byte8]],4,1)</f>
        <v>0</v>
      </c>
      <c r="AB24" s="1" t="str">
        <f>MID(Tab_Payload3[[#This Row],[Byte8]],5,1)</f>
        <v>0</v>
      </c>
    </row>
    <row r="25" spans="1:28" x14ac:dyDescent="0.45">
      <c r="A25" s="2"/>
      <c r="B25" s="2"/>
      <c r="C25" s="2"/>
      <c r="D25" s="1" t="str">
        <f t="shared" si="0"/>
        <v>00000000</v>
      </c>
      <c r="E25" s="1" t="str">
        <f t="shared" si="1"/>
        <v/>
      </c>
      <c r="F25" s="1" t="str">
        <f t="shared" si="2"/>
        <v/>
      </c>
      <c r="G25" s="1" t="str">
        <f t="shared" si="3"/>
        <v>00000000</v>
      </c>
      <c r="H25" s="1" t="str">
        <f t="shared" si="4"/>
        <v>00000000</v>
      </c>
      <c r="I25" s="3" t="e">
        <f t="shared" si="5"/>
        <v>#VALUE!</v>
      </c>
      <c r="J25" s="4" t="e">
        <f t="shared" si="6"/>
        <v>#VALUE!</v>
      </c>
      <c r="K25" s="1" t="str" cm="1">
        <f t="array" ref="K25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5" s="1" t="str" cm="1">
        <f t="array" ref="L25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5" s="1" t="str">
        <f>IF(MID(Tab_Payload3[[#This Row],[Byte7]],7,1)="1","Desligado","Ligado")</f>
        <v>Ligado</v>
      </c>
      <c r="N25" s="1" t="str">
        <f>IF(MID(Tab_Payload3[[#This Row],[Byte7]],5,1)="1","Desativado","Acionado")</f>
        <v>Acionado</v>
      </c>
      <c r="O25" s="1" t="str">
        <f>IF(MID(Tab_Payload3[[#This Row],[Byte8]],2,1)="1","Movimento","Parado")</f>
        <v>Parado</v>
      </c>
      <c r="P25" s="1" t="str">
        <f>IF(MID(Tab_Payload3[[#This Row],[Byte0]],6,1)="1","Carga Baixa","Com Carga")</f>
        <v>Com Carga</v>
      </c>
      <c r="Q25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5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5" s="8" t="str">
        <f>HYPERLINK("http://maps.google.com/maps?q="&amp;CONCATENATE(Tab_Payload3[[#This Row],[Latitude]], ",", Tab_Payload3[[#This Row],[Longitude]]),"Google Map")</f>
        <v>Google Map</v>
      </c>
      <c r="T25" s="1" t="str">
        <f>IF(MID(Tab_Payload3[[#This Row],[Byte0]],5,1)="0","Yes","No")</f>
        <v>Yes</v>
      </c>
      <c r="U25" s="1" t="str">
        <f>MID(Tab_Payload3[[#This Row],[Byte0]],3,2)</f>
        <v>00</v>
      </c>
      <c r="V25" s="1">
        <f>BIN2DEC(MID(Tab_Payload3[[#This Row],[Byte0]],1,2))</f>
        <v>0</v>
      </c>
      <c r="W25" s="1" t="str">
        <f>IF(MID(Tab_Payload3[[#This Row],[Byte7]],8,1)="1","Yes","No")</f>
        <v>No</v>
      </c>
      <c r="X25" s="1" t="str">
        <f>IF(MID(Tab_Payload3[[#This Row],[Byte7]],6,1)="1","Yes","No")</f>
        <v>No</v>
      </c>
      <c r="Y25" s="1" t="str">
        <f>MID(Tab_Payload3[[#This Row],[Byte8]],1,1)</f>
        <v>0</v>
      </c>
      <c r="Z25" s="1" t="str">
        <f>MID(Tab_Payload3[[#This Row],[Byte8]],3,1)</f>
        <v>0</v>
      </c>
      <c r="AA25" s="1" t="str">
        <f>MID(Tab_Payload3[[#This Row],[Byte8]],4,1)</f>
        <v>0</v>
      </c>
      <c r="AB25" s="1" t="str">
        <f>MID(Tab_Payload3[[#This Row],[Byte8]],5,1)</f>
        <v>0</v>
      </c>
    </row>
    <row r="26" spans="1:28" x14ac:dyDescent="0.45">
      <c r="A26" s="2"/>
      <c r="B26" s="2"/>
      <c r="C26" s="2"/>
      <c r="D26" s="1" t="str">
        <f t="shared" si="0"/>
        <v>00000000</v>
      </c>
      <c r="E26" s="1" t="str">
        <f t="shared" si="1"/>
        <v/>
      </c>
      <c r="F26" s="1" t="str">
        <f t="shared" si="2"/>
        <v/>
      </c>
      <c r="G26" s="1" t="str">
        <f t="shared" si="3"/>
        <v>00000000</v>
      </c>
      <c r="H26" s="1" t="str">
        <f t="shared" si="4"/>
        <v>00000000</v>
      </c>
      <c r="I26" s="3" t="e">
        <f t="shared" si="5"/>
        <v>#VALUE!</v>
      </c>
      <c r="J26" s="4" t="e">
        <f t="shared" si="6"/>
        <v>#VALUE!</v>
      </c>
      <c r="K26" s="1" t="str" cm="1">
        <f t="array" ref="K26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6" s="1" t="str" cm="1">
        <f t="array" ref="L26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6" s="1" t="str">
        <f>IF(MID(Tab_Payload3[[#This Row],[Byte7]],7,1)="1","Desligado","Ligado")</f>
        <v>Ligado</v>
      </c>
      <c r="N26" s="1" t="str">
        <f>IF(MID(Tab_Payload3[[#This Row],[Byte7]],5,1)="1","Desativado","Acionado")</f>
        <v>Acionado</v>
      </c>
      <c r="O26" s="1" t="str">
        <f>IF(MID(Tab_Payload3[[#This Row],[Byte8]],2,1)="1","Movimento","Parado")</f>
        <v>Parado</v>
      </c>
      <c r="P26" s="1" t="str">
        <f>IF(MID(Tab_Payload3[[#This Row],[Byte0]],6,1)="1","Carga Baixa","Com Carga")</f>
        <v>Com Carga</v>
      </c>
      <c r="Q26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6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6" s="8" t="str">
        <f>HYPERLINK("http://maps.google.com/maps?q="&amp;CONCATENATE(Tab_Payload3[[#This Row],[Latitude]], ",", Tab_Payload3[[#This Row],[Longitude]]),"Google Map")</f>
        <v>Google Map</v>
      </c>
      <c r="T26" s="1" t="str">
        <f>IF(MID(Tab_Payload3[[#This Row],[Byte0]],5,1)="0","Yes","No")</f>
        <v>Yes</v>
      </c>
      <c r="U26" s="1" t="str">
        <f>MID(Tab_Payload3[[#This Row],[Byte0]],3,2)</f>
        <v>00</v>
      </c>
      <c r="V26" s="1">
        <f>BIN2DEC(MID(Tab_Payload3[[#This Row],[Byte0]],1,2))</f>
        <v>0</v>
      </c>
      <c r="W26" s="1" t="str">
        <f>IF(MID(Tab_Payload3[[#This Row],[Byte7]],8,1)="1","Yes","No")</f>
        <v>No</v>
      </c>
      <c r="X26" s="1" t="str">
        <f>IF(MID(Tab_Payload3[[#This Row],[Byte7]],6,1)="1","Yes","No")</f>
        <v>No</v>
      </c>
      <c r="Y26" s="1" t="str">
        <f>MID(Tab_Payload3[[#This Row],[Byte8]],1,1)</f>
        <v>0</v>
      </c>
      <c r="Z26" s="1" t="str">
        <f>MID(Tab_Payload3[[#This Row],[Byte8]],3,1)</f>
        <v>0</v>
      </c>
      <c r="AA26" s="1" t="str">
        <f>MID(Tab_Payload3[[#This Row],[Byte8]],4,1)</f>
        <v>0</v>
      </c>
      <c r="AB26" s="1" t="str">
        <f>MID(Tab_Payload3[[#This Row],[Byte8]],5,1)</f>
        <v>0</v>
      </c>
    </row>
    <row r="27" spans="1:28" x14ac:dyDescent="0.45">
      <c r="A27" s="2"/>
      <c r="B27" s="2"/>
      <c r="C27" s="2"/>
      <c r="D27" s="1" t="str">
        <f t="shared" si="0"/>
        <v>00000000</v>
      </c>
      <c r="E27" s="1" t="str">
        <f t="shared" si="1"/>
        <v/>
      </c>
      <c r="F27" s="1" t="str">
        <f t="shared" si="2"/>
        <v/>
      </c>
      <c r="G27" s="1" t="str">
        <f t="shared" si="3"/>
        <v>00000000</v>
      </c>
      <c r="H27" s="1" t="str">
        <f t="shared" si="4"/>
        <v>00000000</v>
      </c>
      <c r="I27" s="3" t="e">
        <f t="shared" si="5"/>
        <v>#VALUE!</v>
      </c>
      <c r="J27" s="4" t="e">
        <f t="shared" si="6"/>
        <v>#VALUE!</v>
      </c>
      <c r="K27" s="1" t="str" cm="1">
        <f t="array" ref="K27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7" s="1" t="str" cm="1">
        <f t="array" ref="L27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7" s="1" t="str">
        <f>IF(MID(Tab_Payload3[[#This Row],[Byte7]],7,1)="1","Desligado","Ligado")</f>
        <v>Ligado</v>
      </c>
      <c r="N27" s="1" t="str">
        <f>IF(MID(Tab_Payload3[[#This Row],[Byte7]],5,1)="1","Desativado","Acionado")</f>
        <v>Acionado</v>
      </c>
      <c r="O27" s="1" t="str">
        <f>IF(MID(Tab_Payload3[[#This Row],[Byte8]],2,1)="1","Movimento","Parado")</f>
        <v>Parado</v>
      </c>
      <c r="P27" s="1" t="str">
        <f>IF(MID(Tab_Payload3[[#This Row],[Byte0]],6,1)="1","Carga Baixa","Com Carga")</f>
        <v>Com Carga</v>
      </c>
      <c r="Q27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7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7" s="8" t="str">
        <f>HYPERLINK("http://maps.google.com/maps?q="&amp;CONCATENATE(Tab_Payload3[[#This Row],[Latitude]], ",", Tab_Payload3[[#This Row],[Longitude]]),"Google Map")</f>
        <v>Google Map</v>
      </c>
      <c r="T27" s="1" t="str">
        <f>IF(MID(Tab_Payload3[[#This Row],[Byte0]],5,1)="0","Yes","No")</f>
        <v>Yes</v>
      </c>
      <c r="U27" s="1" t="str">
        <f>MID(Tab_Payload3[[#This Row],[Byte0]],3,2)</f>
        <v>00</v>
      </c>
      <c r="V27" s="1">
        <f>BIN2DEC(MID(Tab_Payload3[[#This Row],[Byte0]],1,2))</f>
        <v>0</v>
      </c>
      <c r="W27" s="1" t="str">
        <f>IF(MID(Tab_Payload3[[#This Row],[Byte7]],8,1)="1","Yes","No")</f>
        <v>No</v>
      </c>
      <c r="X27" s="1" t="str">
        <f>IF(MID(Tab_Payload3[[#This Row],[Byte7]],6,1)="1","Yes","No")</f>
        <v>No</v>
      </c>
      <c r="Y27" s="1" t="str">
        <f>MID(Tab_Payload3[[#This Row],[Byte8]],1,1)</f>
        <v>0</v>
      </c>
      <c r="Z27" s="1" t="str">
        <f>MID(Tab_Payload3[[#This Row],[Byte8]],3,1)</f>
        <v>0</v>
      </c>
      <c r="AA27" s="1" t="str">
        <f>MID(Tab_Payload3[[#This Row],[Byte8]],4,1)</f>
        <v>0</v>
      </c>
      <c r="AB27" s="1" t="str">
        <f>MID(Tab_Payload3[[#This Row],[Byte8]],5,1)</f>
        <v>0</v>
      </c>
    </row>
    <row r="28" spans="1:28" x14ac:dyDescent="0.45">
      <c r="A28" s="2"/>
      <c r="B28" s="2"/>
      <c r="C28" s="2"/>
      <c r="D28" s="1" t="str">
        <f t="shared" si="0"/>
        <v>00000000</v>
      </c>
      <c r="E28" s="1" t="str">
        <f t="shared" si="1"/>
        <v/>
      </c>
      <c r="F28" s="1" t="str">
        <f t="shared" si="2"/>
        <v/>
      </c>
      <c r="G28" s="1" t="str">
        <f t="shared" si="3"/>
        <v>00000000</v>
      </c>
      <c r="H28" s="1" t="str">
        <f t="shared" si="4"/>
        <v>00000000</v>
      </c>
      <c r="I28" s="3" t="e">
        <f t="shared" si="5"/>
        <v>#VALUE!</v>
      </c>
      <c r="J28" s="4" t="e">
        <f t="shared" si="6"/>
        <v>#VALUE!</v>
      </c>
      <c r="K28" s="1" t="str" cm="1">
        <f t="array" ref="K28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8" s="1" t="str" cm="1">
        <f t="array" ref="L28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8" s="1" t="str">
        <f>IF(MID(Tab_Payload3[[#This Row],[Byte7]],7,1)="1","Desligado","Ligado")</f>
        <v>Ligado</v>
      </c>
      <c r="N28" s="1" t="str">
        <f>IF(MID(Tab_Payload3[[#This Row],[Byte7]],5,1)="1","Desativado","Acionado")</f>
        <v>Acionado</v>
      </c>
      <c r="O28" s="1" t="str">
        <f>IF(MID(Tab_Payload3[[#This Row],[Byte8]],2,1)="1","Movimento","Parado")</f>
        <v>Parado</v>
      </c>
      <c r="P28" s="1" t="str">
        <f>IF(MID(Tab_Payload3[[#This Row],[Byte0]],6,1)="1","Carga Baixa","Com Carga")</f>
        <v>Com Carga</v>
      </c>
      <c r="Q28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8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8" s="8" t="str">
        <f>HYPERLINK("http://maps.google.com/maps?q="&amp;CONCATENATE(Tab_Payload3[[#This Row],[Latitude]], ",", Tab_Payload3[[#This Row],[Longitude]]),"Google Map")</f>
        <v>Google Map</v>
      </c>
      <c r="T28" s="1" t="str">
        <f>IF(MID(Tab_Payload3[[#This Row],[Byte0]],5,1)="0","Yes","No")</f>
        <v>Yes</v>
      </c>
      <c r="U28" s="1" t="str">
        <f>MID(Tab_Payload3[[#This Row],[Byte0]],3,2)</f>
        <v>00</v>
      </c>
      <c r="V28" s="1">
        <f>BIN2DEC(MID(Tab_Payload3[[#This Row],[Byte0]],1,2))</f>
        <v>0</v>
      </c>
      <c r="W28" s="1" t="str">
        <f>IF(MID(Tab_Payload3[[#This Row],[Byte7]],8,1)="1","Yes","No")</f>
        <v>No</v>
      </c>
      <c r="X28" s="1" t="str">
        <f>IF(MID(Tab_Payload3[[#This Row],[Byte7]],6,1)="1","Yes","No")</f>
        <v>No</v>
      </c>
      <c r="Y28" s="1" t="str">
        <f>MID(Tab_Payload3[[#This Row],[Byte8]],1,1)</f>
        <v>0</v>
      </c>
      <c r="Z28" s="1" t="str">
        <f>MID(Tab_Payload3[[#This Row],[Byte8]],3,1)</f>
        <v>0</v>
      </c>
      <c r="AA28" s="1" t="str">
        <f>MID(Tab_Payload3[[#This Row],[Byte8]],4,1)</f>
        <v>0</v>
      </c>
      <c r="AB28" s="1" t="str">
        <f>MID(Tab_Payload3[[#This Row],[Byte8]],5,1)</f>
        <v>0</v>
      </c>
    </row>
    <row r="29" spans="1:28" x14ac:dyDescent="0.45">
      <c r="A29" s="2"/>
      <c r="B29" s="2"/>
      <c r="C29" s="2"/>
      <c r="D29" s="1" t="str">
        <f t="shared" si="0"/>
        <v>00000000</v>
      </c>
      <c r="E29" s="1" t="str">
        <f t="shared" si="1"/>
        <v/>
      </c>
      <c r="F29" s="1" t="str">
        <f t="shared" si="2"/>
        <v/>
      </c>
      <c r="G29" s="1" t="str">
        <f t="shared" si="3"/>
        <v>00000000</v>
      </c>
      <c r="H29" s="1" t="str">
        <f t="shared" si="4"/>
        <v>00000000</v>
      </c>
      <c r="I29" s="3" t="e">
        <f t="shared" si="5"/>
        <v>#VALUE!</v>
      </c>
      <c r="J29" s="4" t="e">
        <f t="shared" si="6"/>
        <v>#VALUE!</v>
      </c>
      <c r="K29" s="1" t="str" cm="1">
        <f t="array" ref="K29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29" s="1" t="str" cm="1">
        <f t="array" ref="L29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29" s="1" t="str">
        <f>IF(MID(Tab_Payload3[[#This Row],[Byte7]],7,1)="1","Desligado","Ligado")</f>
        <v>Ligado</v>
      </c>
      <c r="N29" s="1" t="str">
        <f>IF(MID(Tab_Payload3[[#This Row],[Byte7]],5,1)="1","Desativado","Acionado")</f>
        <v>Acionado</v>
      </c>
      <c r="O29" s="1" t="str">
        <f>IF(MID(Tab_Payload3[[#This Row],[Byte8]],2,1)="1","Movimento","Parado")</f>
        <v>Parado</v>
      </c>
      <c r="P29" s="1" t="str">
        <f>IF(MID(Tab_Payload3[[#This Row],[Byte0]],6,1)="1","Carga Baixa","Com Carga")</f>
        <v>Com Carga</v>
      </c>
      <c r="Q29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29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29" s="8" t="str">
        <f>HYPERLINK("http://maps.google.com/maps?q="&amp;CONCATENATE(Tab_Payload3[[#This Row],[Latitude]], ",", Tab_Payload3[[#This Row],[Longitude]]),"Google Map")</f>
        <v>Google Map</v>
      </c>
      <c r="T29" s="1" t="str">
        <f>IF(MID(Tab_Payload3[[#This Row],[Byte0]],5,1)="0","Yes","No")</f>
        <v>Yes</v>
      </c>
      <c r="U29" s="1" t="str">
        <f>MID(Tab_Payload3[[#This Row],[Byte0]],3,2)</f>
        <v>00</v>
      </c>
      <c r="V29" s="1">
        <f>BIN2DEC(MID(Tab_Payload3[[#This Row],[Byte0]],1,2))</f>
        <v>0</v>
      </c>
      <c r="W29" s="1" t="str">
        <f>IF(MID(Tab_Payload3[[#This Row],[Byte7]],8,1)="1","Yes","No")</f>
        <v>No</v>
      </c>
      <c r="X29" s="1" t="str">
        <f>IF(MID(Tab_Payload3[[#This Row],[Byte7]],6,1)="1","Yes","No")</f>
        <v>No</v>
      </c>
      <c r="Y29" s="1" t="str">
        <f>MID(Tab_Payload3[[#This Row],[Byte8]],1,1)</f>
        <v>0</v>
      </c>
      <c r="Z29" s="1" t="str">
        <f>MID(Tab_Payload3[[#This Row],[Byte8]],3,1)</f>
        <v>0</v>
      </c>
      <c r="AA29" s="1" t="str">
        <f>MID(Tab_Payload3[[#This Row],[Byte8]],4,1)</f>
        <v>0</v>
      </c>
      <c r="AB29" s="1" t="str">
        <f>MID(Tab_Payload3[[#This Row],[Byte8]],5,1)</f>
        <v>0</v>
      </c>
    </row>
    <row r="30" spans="1:28" x14ac:dyDescent="0.45">
      <c r="A30" s="2"/>
      <c r="B30" s="2"/>
      <c r="C30" s="2"/>
      <c r="D30" s="1" t="str">
        <f t="shared" si="0"/>
        <v>00000000</v>
      </c>
      <c r="E30" s="1" t="str">
        <f t="shared" si="1"/>
        <v/>
      </c>
      <c r="F30" s="1" t="str">
        <f t="shared" si="2"/>
        <v/>
      </c>
      <c r="G30" s="1" t="str">
        <f t="shared" si="3"/>
        <v>00000000</v>
      </c>
      <c r="H30" s="1" t="str">
        <f t="shared" si="4"/>
        <v>00000000</v>
      </c>
      <c r="I30" s="3" t="e">
        <f t="shared" si="5"/>
        <v>#VALUE!</v>
      </c>
      <c r="J30" s="4" t="e">
        <f t="shared" si="6"/>
        <v>#VALUE!</v>
      </c>
      <c r="K30" s="1" t="str" cm="1">
        <f t="array" ref="K30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0" s="1" t="str" cm="1">
        <f t="array" ref="L30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0" s="1" t="str">
        <f>IF(MID(Tab_Payload3[[#This Row],[Byte7]],7,1)="1","Desligado","Ligado")</f>
        <v>Ligado</v>
      </c>
      <c r="N30" s="1" t="str">
        <f>IF(MID(Tab_Payload3[[#This Row],[Byte7]],5,1)="1","Desativado","Acionado")</f>
        <v>Acionado</v>
      </c>
      <c r="O30" s="1" t="str">
        <f>IF(MID(Tab_Payload3[[#This Row],[Byte8]],2,1)="1","Movimento","Parado")</f>
        <v>Parado</v>
      </c>
      <c r="P30" s="1" t="str">
        <f>IF(MID(Tab_Payload3[[#This Row],[Byte0]],6,1)="1","Carga Baixa","Com Carga")</f>
        <v>Com Carga</v>
      </c>
      <c r="Q30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0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0" s="8" t="str">
        <f>HYPERLINK("http://maps.google.com/maps?q="&amp;CONCATENATE(Tab_Payload3[[#This Row],[Latitude]], ",", Tab_Payload3[[#This Row],[Longitude]]),"Google Map")</f>
        <v>Google Map</v>
      </c>
      <c r="T30" s="1" t="str">
        <f>IF(MID(Tab_Payload3[[#This Row],[Byte0]],5,1)="0","Yes","No")</f>
        <v>Yes</v>
      </c>
      <c r="U30" s="1" t="str">
        <f>MID(Tab_Payload3[[#This Row],[Byte0]],3,2)</f>
        <v>00</v>
      </c>
      <c r="V30" s="1">
        <f>BIN2DEC(MID(Tab_Payload3[[#This Row],[Byte0]],1,2))</f>
        <v>0</v>
      </c>
      <c r="W30" s="1" t="str">
        <f>IF(MID(Tab_Payload3[[#This Row],[Byte7]],8,1)="1","Yes","No")</f>
        <v>No</v>
      </c>
      <c r="X30" s="1" t="str">
        <f>IF(MID(Tab_Payload3[[#This Row],[Byte7]],6,1)="1","Yes","No")</f>
        <v>No</v>
      </c>
      <c r="Y30" s="1" t="str">
        <f>MID(Tab_Payload3[[#This Row],[Byte8]],1,1)</f>
        <v>0</v>
      </c>
      <c r="Z30" s="1" t="str">
        <f>MID(Tab_Payload3[[#This Row],[Byte8]],3,1)</f>
        <v>0</v>
      </c>
      <c r="AA30" s="1" t="str">
        <f>MID(Tab_Payload3[[#This Row],[Byte8]],4,1)</f>
        <v>0</v>
      </c>
      <c r="AB30" s="1" t="str">
        <f>MID(Tab_Payload3[[#This Row],[Byte8]],5,1)</f>
        <v>0</v>
      </c>
    </row>
    <row r="31" spans="1:28" x14ac:dyDescent="0.45">
      <c r="A31" s="2"/>
      <c r="B31" s="2"/>
      <c r="C31" s="2"/>
      <c r="D31" s="1" t="str">
        <f t="shared" si="0"/>
        <v>00000000</v>
      </c>
      <c r="E31" s="1" t="str">
        <f t="shared" si="1"/>
        <v/>
      </c>
      <c r="F31" s="1" t="str">
        <f t="shared" si="2"/>
        <v/>
      </c>
      <c r="G31" s="1" t="str">
        <f t="shared" si="3"/>
        <v>00000000</v>
      </c>
      <c r="H31" s="1" t="str">
        <f t="shared" si="4"/>
        <v>00000000</v>
      </c>
      <c r="I31" s="3" t="e">
        <f t="shared" si="5"/>
        <v>#VALUE!</v>
      </c>
      <c r="J31" s="4" t="e">
        <f t="shared" si="6"/>
        <v>#VALUE!</v>
      </c>
      <c r="K31" s="1" t="str" cm="1">
        <f t="array" ref="K31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1" s="1" t="str" cm="1">
        <f t="array" ref="L31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1" s="1" t="str">
        <f>IF(MID(Tab_Payload3[[#This Row],[Byte7]],7,1)="1","Desligado","Ligado")</f>
        <v>Ligado</v>
      </c>
      <c r="N31" s="1" t="str">
        <f>IF(MID(Tab_Payload3[[#This Row],[Byte7]],5,1)="1","Desativado","Acionado")</f>
        <v>Acionado</v>
      </c>
      <c r="O31" s="1" t="str">
        <f>IF(MID(Tab_Payload3[[#This Row],[Byte8]],2,1)="1","Movimento","Parado")</f>
        <v>Parado</v>
      </c>
      <c r="P31" s="1" t="str">
        <f>IF(MID(Tab_Payload3[[#This Row],[Byte0]],6,1)="1","Carga Baixa","Com Carga")</f>
        <v>Com Carga</v>
      </c>
      <c r="Q31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1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1" s="8" t="str">
        <f>HYPERLINK("http://maps.google.com/maps?q="&amp;CONCATENATE(Tab_Payload3[[#This Row],[Latitude]], ",", Tab_Payload3[[#This Row],[Longitude]]),"Google Map")</f>
        <v>Google Map</v>
      </c>
      <c r="T31" s="1" t="str">
        <f>IF(MID(Tab_Payload3[[#This Row],[Byte0]],5,1)="0","Yes","No")</f>
        <v>Yes</v>
      </c>
      <c r="U31" s="1" t="str">
        <f>MID(Tab_Payload3[[#This Row],[Byte0]],3,2)</f>
        <v>00</v>
      </c>
      <c r="V31" s="1">
        <f>BIN2DEC(MID(Tab_Payload3[[#This Row],[Byte0]],1,2))</f>
        <v>0</v>
      </c>
      <c r="W31" s="1" t="str">
        <f>IF(MID(Tab_Payload3[[#This Row],[Byte7]],8,1)="1","Yes","No")</f>
        <v>No</v>
      </c>
      <c r="X31" s="1" t="str">
        <f>IF(MID(Tab_Payload3[[#This Row],[Byte7]],6,1)="1","Yes","No")</f>
        <v>No</v>
      </c>
      <c r="Y31" s="1" t="str">
        <f>MID(Tab_Payload3[[#This Row],[Byte8]],1,1)</f>
        <v>0</v>
      </c>
      <c r="Z31" s="1" t="str">
        <f>MID(Tab_Payload3[[#This Row],[Byte8]],3,1)</f>
        <v>0</v>
      </c>
      <c r="AA31" s="1" t="str">
        <f>MID(Tab_Payload3[[#This Row],[Byte8]],4,1)</f>
        <v>0</v>
      </c>
      <c r="AB31" s="1" t="str">
        <f>MID(Tab_Payload3[[#This Row],[Byte8]],5,1)</f>
        <v>0</v>
      </c>
    </row>
    <row r="32" spans="1:28" x14ac:dyDescent="0.45">
      <c r="A32" s="2"/>
      <c r="B32" s="2"/>
      <c r="C32" s="2"/>
      <c r="D32" s="1" t="str">
        <f t="shared" si="0"/>
        <v>00000000</v>
      </c>
      <c r="E32" s="1" t="str">
        <f t="shared" si="1"/>
        <v/>
      </c>
      <c r="F32" s="1" t="str">
        <f t="shared" si="2"/>
        <v/>
      </c>
      <c r="G32" s="1" t="str">
        <f t="shared" si="3"/>
        <v>00000000</v>
      </c>
      <c r="H32" s="1" t="str">
        <f t="shared" si="4"/>
        <v>00000000</v>
      </c>
      <c r="I32" s="3" t="e">
        <f t="shared" si="5"/>
        <v>#VALUE!</v>
      </c>
      <c r="J32" s="4" t="e">
        <f t="shared" si="6"/>
        <v>#VALUE!</v>
      </c>
      <c r="K32" s="1" t="str" cm="1">
        <f t="array" ref="K32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2" s="1" t="str" cm="1">
        <f t="array" ref="L32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2" s="1" t="str">
        <f>IF(MID(Tab_Payload3[[#This Row],[Byte7]],7,1)="1","Desligado","Ligado")</f>
        <v>Ligado</v>
      </c>
      <c r="N32" s="1" t="str">
        <f>IF(MID(Tab_Payload3[[#This Row],[Byte7]],5,1)="1","Desativado","Acionado")</f>
        <v>Acionado</v>
      </c>
      <c r="O32" s="1" t="str">
        <f>IF(MID(Tab_Payload3[[#This Row],[Byte8]],2,1)="1","Movimento","Parado")</f>
        <v>Parado</v>
      </c>
      <c r="P32" s="1" t="str">
        <f>IF(MID(Tab_Payload3[[#This Row],[Byte0]],6,1)="1","Carga Baixa","Com Carga")</f>
        <v>Com Carga</v>
      </c>
      <c r="Q32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2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2" s="8" t="str">
        <f>HYPERLINK("http://maps.google.com/maps?q="&amp;CONCATENATE(Tab_Payload3[[#This Row],[Latitude]], ",", Tab_Payload3[[#This Row],[Longitude]]),"Google Map")</f>
        <v>Google Map</v>
      </c>
      <c r="T32" s="1" t="str">
        <f>IF(MID(Tab_Payload3[[#This Row],[Byte0]],5,1)="0","Yes","No")</f>
        <v>Yes</v>
      </c>
      <c r="U32" s="1" t="str">
        <f>MID(Tab_Payload3[[#This Row],[Byte0]],3,2)</f>
        <v>00</v>
      </c>
      <c r="V32" s="1">
        <f>BIN2DEC(MID(Tab_Payload3[[#This Row],[Byte0]],1,2))</f>
        <v>0</v>
      </c>
      <c r="W32" s="1" t="str">
        <f>IF(MID(Tab_Payload3[[#This Row],[Byte7]],8,1)="1","Yes","No")</f>
        <v>No</v>
      </c>
      <c r="X32" s="1" t="str">
        <f>IF(MID(Tab_Payload3[[#This Row],[Byte7]],6,1)="1","Yes","No")</f>
        <v>No</v>
      </c>
      <c r="Y32" s="1" t="str">
        <f>MID(Tab_Payload3[[#This Row],[Byte8]],1,1)</f>
        <v>0</v>
      </c>
      <c r="Z32" s="1" t="str">
        <f>MID(Tab_Payload3[[#This Row],[Byte8]],3,1)</f>
        <v>0</v>
      </c>
      <c r="AA32" s="1" t="str">
        <f>MID(Tab_Payload3[[#This Row],[Byte8]],4,1)</f>
        <v>0</v>
      </c>
      <c r="AB32" s="1" t="str">
        <f>MID(Tab_Payload3[[#This Row],[Byte8]],5,1)</f>
        <v>0</v>
      </c>
    </row>
    <row r="33" spans="1:28" x14ac:dyDescent="0.45">
      <c r="A33" s="2"/>
      <c r="B33" s="2"/>
      <c r="C33" s="2"/>
      <c r="D33" s="1" t="str">
        <f t="shared" si="0"/>
        <v>00000000</v>
      </c>
      <c r="E33" s="1" t="str">
        <f t="shared" si="1"/>
        <v/>
      </c>
      <c r="F33" s="1" t="str">
        <f t="shared" si="2"/>
        <v/>
      </c>
      <c r="G33" s="1" t="str">
        <f t="shared" si="3"/>
        <v>00000000</v>
      </c>
      <c r="H33" s="1" t="str">
        <f t="shared" si="4"/>
        <v>00000000</v>
      </c>
      <c r="I33" s="3" t="e">
        <f t="shared" si="5"/>
        <v>#VALUE!</v>
      </c>
      <c r="J33" s="4" t="e">
        <f t="shared" si="6"/>
        <v>#VALUE!</v>
      </c>
      <c r="K33" s="1" t="str" cm="1">
        <f t="array" ref="K33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3" s="1" t="str" cm="1">
        <f t="array" ref="L33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3" s="1" t="str">
        <f>IF(MID(Tab_Payload3[[#This Row],[Byte7]],7,1)="1","Desligado","Ligado")</f>
        <v>Ligado</v>
      </c>
      <c r="N33" s="1" t="str">
        <f>IF(MID(Tab_Payload3[[#This Row],[Byte7]],5,1)="1","Desativado","Acionado")</f>
        <v>Acionado</v>
      </c>
      <c r="O33" s="1" t="str">
        <f>IF(MID(Tab_Payload3[[#This Row],[Byte8]],2,1)="1","Movimento","Parado")</f>
        <v>Parado</v>
      </c>
      <c r="P33" s="1" t="str">
        <f>IF(MID(Tab_Payload3[[#This Row],[Byte0]],6,1)="1","Carga Baixa","Com Carga")</f>
        <v>Com Carga</v>
      </c>
      <c r="Q33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3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3" s="8" t="str">
        <f>HYPERLINK("http://maps.google.com/maps?q="&amp;CONCATENATE(Tab_Payload3[[#This Row],[Latitude]], ",", Tab_Payload3[[#This Row],[Longitude]]),"Google Map")</f>
        <v>Google Map</v>
      </c>
      <c r="T33" s="1" t="str">
        <f>IF(MID(Tab_Payload3[[#This Row],[Byte0]],5,1)="0","Yes","No")</f>
        <v>Yes</v>
      </c>
      <c r="U33" s="1" t="str">
        <f>MID(Tab_Payload3[[#This Row],[Byte0]],3,2)</f>
        <v>00</v>
      </c>
      <c r="V33" s="1">
        <f>BIN2DEC(MID(Tab_Payload3[[#This Row],[Byte0]],1,2))</f>
        <v>0</v>
      </c>
      <c r="W33" s="1" t="str">
        <f>IF(MID(Tab_Payload3[[#This Row],[Byte7]],8,1)="1","Yes","No")</f>
        <v>No</v>
      </c>
      <c r="X33" s="1" t="str">
        <f>IF(MID(Tab_Payload3[[#This Row],[Byte7]],6,1)="1","Yes","No")</f>
        <v>No</v>
      </c>
      <c r="Y33" s="1" t="str">
        <f>MID(Tab_Payload3[[#This Row],[Byte8]],1,1)</f>
        <v>0</v>
      </c>
      <c r="Z33" s="1" t="str">
        <f>MID(Tab_Payload3[[#This Row],[Byte8]],3,1)</f>
        <v>0</v>
      </c>
      <c r="AA33" s="1" t="str">
        <f>MID(Tab_Payload3[[#This Row],[Byte8]],4,1)</f>
        <v>0</v>
      </c>
      <c r="AB33" s="1" t="str">
        <f>MID(Tab_Payload3[[#This Row],[Byte8]],5,1)</f>
        <v>0</v>
      </c>
    </row>
    <row r="34" spans="1:28" x14ac:dyDescent="0.45">
      <c r="A34" s="2"/>
      <c r="B34" s="2"/>
      <c r="C34" s="2"/>
      <c r="D34" s="1" t="str">
        <f t="shared" si="0"/>
        <v>00000000</v>
      </c>
      <c r="E34" s="1" t="str">
        <f t="shared" si="1"/>
        <v/>
      </c>
      <c r="F34" s="1" t="str">
        <f t="shared" si="2"/>
        <v/>
      </c>
      <c r="G34" s="1" t="str">
        <f t="shared" si="3"/>
        <v>00000000</v>
      </c>
      <c r="H34" s="1" t="str">
        <f t="shared" si="4"/>
        <v>00000000</v>
      </c>
      <c r="I34" s="3" t="e">
        <f t="shared" si="5"/>
        <v>#VALUE!</v>
      </c>
      <c r="J34" s="4" t="e">
        <f t="shared" si="6"/>
        <v>#VALUE!</v>
      </c>
      <c r="K34" s="1" t="str" cm="1">
        <f t="array" ref="K34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4" s="1" t="str" cm="1">
        <f t="array" ref="L34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4" s="1" t="str">
        <f>IF(MID(Tab_Payload3[[#This Row],[Byte7]],7,1)="1","Desligado","Ligado")</f>
        <v>Ligado</v>
      </c>
      <c r="N34" s="1" t="str">
        <f>IF(MID(Tab_Payload3[[#This Row],[Byte7]],5,1)="1","Desativado","Acionado")</f>
        <v>Acionado</v>
      </c>
      <c r="O34" s="1" t="str">
        <f>IF(MID(Tab_Payload3[[#This Row],[Byte8]],2,1)="1","Movimento","Parado")</f>
        <v>Parado</v>
      </c>
      <c r="P34" s="1" t="str">
        <f>IF(MID(Tab_Payload3[[#This Row],[Byte0]],6,1)="1","Carga Baixa","Com Carga")</f>
        <v>Com Carga</v>
      </c>
      <c r="Q34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4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4" s="8" t="str">
        <f>HYPERLINK("http://maps.google.com/maps?q="&amp;CONCATENATE(Tab_Payload3[[#This Row],[Latitude]], ",", Tab_Payload3[[#This Row],[Longitude]]),"Google Map")</f>
        <v>Google Map</v>
      </c>
      <c r="T34" s="1" t="str">
        <f>IF(MID(Tab_Payload3[[#This Row],[Byte0]],5,1)="0","Yes","No")</f>
        <v>Yes</v>
      </c>
      <c r="U34" s="1" t="str">
        <f>MID(Tab_Payload3[[#This Row],[Byte0]],3,2)</f>
        <v>00</v>
      </c>
      <c r="V34" s="1">
        <f>BIN2DEC(MID(Tab_Payload3[[#This Row],[Byte0]],1,2))</f>
        <v>0</v>
      </c>
      <c r="W34" s="1" t="str">
        <f>IF(MID(Tab_Payload3[[#This Row],[Byte7]],8,1)="1","Yes","No")</f>
        <v>No</v>
      </c>
      <c r="X34" s="1" t="str">
        <f>IF(MID(Tab_Payload3[[#This Row],[Byte7]],6,1)="1","Yes","No")</f>
        <v>No</v>
      </c>
      <c r="Y34" s="1" t="str">
        <f>MID(Tab_Payload3[[#This Row],[Byte8]],1,1)</f>
        <v>0</v>
      </c>
      <c r="Z34" s="1" t="str">
        <f>MID(Tab_Payload3[[#This Row],[Byte8]],3,1)</f>
        <v>0</v>
      </c>
      <c r="AA34" s="1" t="str">
        <f>MID(Tab_Payload3[[#This Row],[Byte8]],4,1)</f>
        <v>0</v>
      </c>
      <c r="AB34" s="1" t="str">
        <f>MID(Tab_Payload3[[#This Row],[Byte8]],5,1)</f>
        <v>0</v>
      </c>
    </row>
    <row r="35" spans="1:28" x14ac:dyDescent="0.45">
      <c r="A35" s="2"/>
      <c r="B35" s="2"/>
      <c r="C35" s="2"/>
      <c r="D35" s="1" t="str">
        <f t="shared" si="0"/>
        <v>00000000</v>
      </c>
      <c r="E35" s="1" t="str">
        <f t="shared" si="1"/>
        <v/>
      </c>
      <c r="F35" s="1" t="str">
        <f t="shared" si="2"/>
        <v/>
      </c>
      <c r="G35" s="1" t="str">
        <f t="shared" si="3"/>
        <v>00000000</v>
      </c>
      <c r="H35" s="1" t="str">
        <f t="shared" si="4"/>
        <v>00000000</v>
      </c>
      <c r="I35" s="3" t="e">
        <f t="shared" si="5"/>
        <v>#VALUE!</v>
      </c>
      <c r="J35" s="4" t="e">
        <f t="shared" si="6"/>
        <v>#VALUE!</v>
      </c>
      <c r="K35" s="1" t="str" cm="1">
        <f t="array" ref="K35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5" s="1" t="str" cm="1">
        <f t="array" ref="L35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5" s="1" t="str">
        <f>IF(MID(Tab_Payload3[[#This Row],[Byte7]],7,1)="1","Desligado","Ligado")</f>
        <v>Ligado</v>
      </c>
      <c r="N35" s="1" t="str">
        <f>IF(MID(Tab_Payload3[[#This Row],[Byte7]],5,1)="1","Desativado","Acionado")</f>
        <v>Acionado</v>
      </c>
      <c r="O35" s="1" t="str">
        <f>IF(MID(Tab_Payload3[[#This Row],[Byte8]],2,1)="1","Movimento","Parado")</f>
        <v>Parado</v>
      </c>
      <c r="P35" s="1" t="str">
        <f>IF(MID(Tab_Payload3[[#This Row],[Byte0]],6,1)="1","Carga Baixa","Com Carga")</f>
        <v>Com Carga</v>
      </c>
      <c r="Q35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5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5" s="8" t="str">
        <f>HYPERLINK("http://maps.google.com/maps?q="&amp;CONCATENATE(Tab_Payload3[[#This Row],[Latitude]], ",", Tab_Payload3[[#This Row],[Longitude]]),"Google Map")</f>
        <v>Google Map</v>
      </c>
      <c r="T35" s="1" t="str">
        <f>IF(MID(Tab_Payload3[[#This Row],[Byte0]],5,1)="0","Yes","No")</f>
        <v>Yes</v>
      </c>
      <c r="U35" s="1" t="str">
        <f>MID(Tab_Payload3[[#This Row],[Byte0]],3,2)</f>
        <v>00</v>
      </c>
      <c r="V35" s="1">
        <f>BIN2DEC(MID(Tab_Payload3[[#This Row],[Byte0]],1,2))</f>
        <v>0</v>
      </c>
      <c r="W35" s="1" t="str">
        <f>IF(MID(Tab_Payload3[[#This Row],[Byte7]],8,1)="1","Yes","No")</f>
        <v>No</v>
      </c>
      <c r="X35" s="1" t="str">
        <f>IF(MID(Tab_Payload3[[#This Row],[Byte7]],6,1)="1","Yes","No")</f>
        <v>No</v>
      </c>
      <c r="Y35" s="1" t="str">
        <f>MID(Tab_Payload3[[#This Row],[Byte8]],1,1)</f>
        <v>0</v>
      </c>
      <c r="Z35" s="1" t="str">
        <f>MID(Tab_Payload3[[#This Row],[Byte8]],3,1)</f>
        <v>0</v>
      </c>
      <c r="AA35" s="1" t="str">
        <f>MID(Tab_Payload3[[#This Row],[Byte8]],4,1)</f>
        <v>0</v>
      </c>
      <c r="AB35" s="1" t="str">
        <f>MID(Tab_Payload3[[#This Row],[Byte8]],5,1)</f>
        <v>0</v>
      </c>
    </row>
    <row r="36" spans="1:28" x14ac:dyDescent="0.45">
      <c r="A36" s="2"/>
      <c r="B36" s="2"/>
      <c r="C36" s="2"/>
      <c r="D36" s="1" t="str">
        <f t="shared" si="0"/>
        <v>00000000</v>
      </c>
      <c r="E36" s="1" t="str">
        <f t="shared" si="1"/>
        <v/>
      </c>
      <c r="F36" s="1" t="str">
        <f t="shared" si="2"/>
        <v/>
      </c>
      <c r="G36" s="1" t="str">
        <f t="shared" si="3"/>
        <v>00000000</v>
      </c>
      <c r="H36" s="1" t="str">
        <f t="shared" si="4"/>
        <v>00000000</v>
      </c>
      <c r="I36" s="3" t="e">
        <f t="shared" si="5"/>
        <v>#VALUE!</v>
      </c>
      <c r="J36" s="4" t="e">
        <f t="shared" si="6"/>
        <v>#VALUE!</v>
      </c>
      <c r="K36" s="1" t="str" cm="1">
        <f t="array" ref="K36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6" s="1" t="str" cm="1">
        <f t="array" ref="L36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6" s="1" t="str">
        <f>IF(MID(Tab_Payload3[[#This Row],[Byte7]],7,1)="1","Desligado","Ligado")</f>
        <v>Ligado</v>
      </c>
      <c r="N36" s="1" t="str">
        <f>IF(MID(Tab_Payload3[[#This Row],[Byte7]],5,1)="1","Desativado","Acionado")</f>
        <v>Acionado</v>
      </c>
      <c r="O36" s="1" t="str">
        <f>IF(MID(Tab_Payload3[[#This Row],[Byte8]],2,1)="1","Movimento","Parado")</f>
        <v>Parado</v>
      </c>
      <c r="P36" s="1" t="str">
        <f>IF(MID(Tab_Payload3[[#This Row],[Byte0]],6,1)="1","Carga Baixa","Com Carga")</f>
        <v>Com Carga</v>
      </c>
      <c r="Q36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6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6" s="8" t="str">
        <f>HYPERLINK("http://maps.google.com/maps?q="&amp;CONCATENATE(Tab_Payload3[[#This Row],[Latitude]], ",", Tab_Payload3[[#This Row],[Longitude]]),"Google Map")</f>
        <v>Google Map</v>
      </c>
      <c r="T36" s="1" t="str">
        <f>IF(MID(Tab_Payload3[[#This Row],[Byte0]],5,1)="0","Yes","No")</f>
        <v>Yes</v>
      </c>
      <c r="U36" s="1" t="str">
        <f>MID(Tab_Payload3[[#This Row],[Byte0]],3,2)</f>
        <v>00</v>
      </c>
      <c r="V36" s="1">
        <f>BIN2DEC(MID(Tab_Payload3[[#This Row],[Byte0]],1,2))</f>
        <v>0</v>
      </c>
      <c r="W36" s="1" t="str">
        <f>IF(MID(Tab_Payload3[[#This Row],[Byte7]],8,1)="1","Yes","No")</f>
        <v>No</v>
      </c>
      <c r="X36" s="1" t="str">
        <f>IF(MID(Tab_Payload3[[#This Row],[Byte7]],6,1)="1","Yes","No")</f>
        <v>No</v>
      </c>
      <c r="Y36" s="1" t="str">
        <f>MID(Tab_Payload3[[#This Row],[Byte8]],1,1)</f>
        <v>0</v>
      </c>
      <c r="Z36" s="1" t="str">
        <f>MID(Tab_Payload3[[#This Row],[Byte8]],3,1)</f>
        <v>0</v>
      </c>
      <c r="AA36" s="1" t="str">
        <f>MID(Tab_Payload3[[#This Row],[Byte8]],4,1)</f>
        <v>0</v>
      </c>
      <c r="AB36" s="1" t="str">
        <f>MID(Tab_Payload3[[#This Row],[Byte8]],5,1)</f>
        <v>0</v>
      </c>
    </row>
    <row r="37" spans="1:28" x14ac:dyDescent="0.45">
      <c r="A37" s="2"/>
      <c r="B37" s="2"/>
      <c r="C37" s="2"/>
      <c r="D37" s="1" t="str">
        <f t="shared" si="0"/>
        <v>00000000</v>
      </c>
      <c r="E37" s="1" t="str">
        <f t="shared" si="1"/>
        <v/>
      </c>
      <c r="F37" s="1" t="str">
        <f t="shared" si="2"/>
        <v/>
      </c>
      <c r="G37" s="1" t="str">
        <f t="shared" si="3"/>
        <v>00000000</v>
      </c>
      <c r="H37" s="1" t="str">
        <f t="shared" si="4"/>
        <v>00000000</v>
      </c>
      <c r="I37" s="3" t="e">
        <f t="shared" si="5"/>
        <v>#VALUE!</v>
      </c>
      <c r="J37" s="4" t="e">
        <f t="shared" si="6"/>
        <v>#VALUE!</v>
      </c>
      <c r="K37" s="1" t="str" cm="1">
        <f t="array" ref="K37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7" s="1" t="str" cm="1">
        <f t="array" ref="L37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7" s="1" t="str">
        <f>IF(MID(Tab_Payload3[[#This Row],[Byte7]],7,1)="1","Desligado","Ligado")</f>
        <v>Ligado</v>
      </c>
      <c r="N37" s="1" t="str">
        <f>IF(MID(Tab_Payload3[[#This Row],[Byte7]],5,1)="1","Desativado","Acionado")</f>
        <v>Acionado</v>
      </c>
      <c r="O37" s="1" t="str">
        <f>IF(MID(Tab_Payload3[[#This Row],[Byte8]],2,1)="1","Movimento","Parado")</f>
        <v>Parado</v>
      </c>
      <c r="P37" s="1" t="str">
        <f>IF(MID(Tab_Payload3[[#This Row],[Byte0]],6,1)="1","Carga Baixa","Com Carga")</f>
        <v>Com Carga</v>
      </c>
      <c r="Q37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7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7" s="8" t="str">
        <f>HYPERLINK("http://maps.google.com/maps?q="&amp;CONCATENATE(Tab_Payload3[[#This Row],[Latitude]], ",", Tab_Payload3[[#This Row],[Longitude]]),"Google Map")</f>
        <v>Google Map</v>
      </c>
      <c r="T37" s="1" t="str">
        <f>IF(MID(Tab_Payload3[[#This Row],[Byte0]],5,1)="0","Yes","No")</f>
        <v>Yes</v>
      </c>
      <c r="U37" s="1" t="str">
        <f>MID(Tab_Payload3[[#This Row],[Byte0]],3,2)</f>
        <v>00</v>
      </c>
      <c r="V37" s="1">
        <f>BIN2DEC(MID(Tab_Payload3[[#This Row],[Byte0]],1,2))</f>
        <v>0</v>
      </c>
      <c r="W37" s="1" t="str">
        <f>IF(MID(Tab_Payload3[[#This Row],[Byte7]],8,1)="1","Yes","No")</f>
        <v>No</v>
      </c>
      <c r="X37" s="1" t="str">
        <f>IF(MID(Tab_Payload3[[#This Row],[Byte7]],6,1)="1","Yes","No")</f>
        <v>No</v>
      </c>
      <c r="Y37" s="1" t="str">
        <f>MID(Tab_Payload3[[#This Row],[Byte8]],1,1)</f>
        <v>0</v>
      </c>
      <c r="Z37" s="1" t="str">
        <f>MID(Tab_Payload3[[#This Row],[Byte8]],3,1)</f>
        <v>0</v>
      </c>
      <c r="AA37" s="1" t="str">
        <f>MID(Tab_Payload3[[#This Row],[Byte8]],4,1)</f>
        <v>0</v>
      </c>
      <c r="AB37" s="1" t="str">
        <f>MID(Tab_Payload3[[#This Row],[Byte8]],5,1)</f>
        <v>0</v>
      </c>
    </row>
    <row r="38" spans="1:28" x14ac:dyDescent="0.45">
      <c r="A38" s="2"/>
      <c r="B38" s="2"/>
      <c r="C38" s="2"/>
      <c r="D38" s="1" t="str">
        <f t="shared" si="0"/>
        <v>00000000</v>
      </c>
      <c r="E38" s="1" t="str">
        <f t="shared" si="1"/>
        <v/>
      </c>
      <c r="F38" s="1" t="str">
        <f t="shared" si="2"/>
        <v/>
      </c>
      <c r="G38" s="1" t="str">
        <f t="shared" si="3"/>
        <v>00000000</v>
      </c>
      <c r="H38" s="1" t="str">
        <f t="shared" si="4"/>
        <v>00000000</v>
      </c>
      <c r="I38" s="3" t="e">
        <f t="shared" si="5"/>
        <v>#VALUE!</v>
      </c>
      <c r="J38" s="4" t="e">
        <f t="shared" si="6"/>
        <v>#VALUE!</v>
      </c>
      <c r="K38" s="1" t="str" cm="1">
        <f t="array" ref="K38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8" s="1" t="str" cm="1">
        <f t="array" ref="L38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8" s="1" t="str">
        <f>IF(MID(Tab_Payload3[[#This Row],[Byte7]],7,1)="1","Desligado","Ligado")</f>
        <v>Ligado</v>
      </c>
      <c r="N38" s="1" t="str">
        <f>IF(MID(Tab_Payload3[[#This Row],[Byte7]],5,1)="1","Desativado","Acionado")</f>
        <v>Acionado</v>
      </c>
      <c r="O38" s="1" t="str">
        <f>IF(MID(Tab_Payload3[[#This Row],[Byte8]],2,1)="1","Movimento","Parado")</f>
        <v>Parado</v>
      </c>
      <c r="P38" s="1" t="str">
        <f>IF(MID(Tab_Payload3[[#This Row],[Byte0]],6,1)="1","Carga Baixa","Com Carga")</f>
        <v>Com Carga</v>
      </c>
      <c r="Q38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8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8" s="8" t="str">
        <f>HYPERLINK("http://maps.google.com/maps?q="&amp;CONCATENATE(Tab_Payload3[[#This Row],[Latitude]], ",", Tab_Payload3[[#This Row],[Longitude]]),"Google Map")</f>
        <v>Google Map</v>
      </c>
      <c r="T38" s="1" t="str">
        <f>IF(MID(Tab_Payload3[[#This Row],[Byte0]],5,1)="0","Yes","No")</f>
        <v>Yes</v>
      </c>
      <c r="U38" s="1" t="str">
        <f>MID(Tab_Payload3[[#This Row],[Byte0]],3,2)</f>
        <v>00</v>
      </c>
      <c r="V38" s="1">
        <f>BIN2DEC(MID(Tab_Payload3[[#This Row],[Byte0]],1,2))</f>
        <v>0</v>
      </c>
      <c r="W38" s="1" t="str">
        <f>IF(MID(Tab_Payload3[[#This Row],[Byte7]],8,1)="1","Yes","No")</f>
        <v>No</v>
      </c>
      <c r="X38" s="1" t="str">
        <f>IF(MID(Tab_Payload3[[#This Row],[Byte7]],6,1)="1","Yes","No")</f>
        <v>No</v>
      </c>
      <c r="Y38" s="1" t="str">
        <f>MID(Tab_Payload3[[#This Row],[Byte8]],1,1)</f>
        <v>0</v>
      </c>
      <c r="Z38" s="1" t="str">
        <f>MID(Tab_Payload3[[#This Row],[Byte8]],3,1)</f>
        <v>0</v>
      </c>
      <c r="AA38" s="1" t="str">
        <f>MID(Tab_Payload3[[#This Row],[Byte8]],4,1)</f>
        <v>0</v>
      </c>
      <c r="AB38" s="1" t="str">
        <f>MID(Tab_Payload3[[#This Row],[Byte8]],5,1)</f>
        <v>0</v>
      </c>
    </row>
    <row r="39" spans="1:28" x14ac:dyDescent="0.45">
      <c r="A39" s="2"/>
      <c r="B39" s="2"/>
      <c r="C39" s="2"/>
      <c r="D39" s="1" t="str">
        <f t="shared" si="0"/>
        <v>00000000</v>
      </c>
      <c r="E39" s="1" t="str">
        <f t="shared" si="1"/>
        <v/>
      </c>
      <c r="F39" s="1" t="str">
        <f t="shared" si="2"/>
        <v/>
      </c>
      <c r="G39" s="1" t="str">
        <f t="shared" si="3"/>
        <v>00000000</v>
      </c>
      <c r="H39" s="1" t="str">
        <f t="shared" si="4"/>
        <v>00000000</v>
      </c>
      <c r="I39" s="3" t="e">
        <f t="shared" si="5"/>
        <v>#VALUE!</v>
      </c>
      <c r="J39" s="4" t="e">
        <f t="shared" si="6"/>
        <v>#VALUE!</v>
      </c>
      <c r="K39" s="1" t="str" cm="1">
        <f t="array" ref="K39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39" s="1" t="str" cm="1">
        <f t="array" ref="L39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39" s="1" t="str">
        <f>IF(MID(Tab_Payload3[[#This Row],[Byte7]],7,1)="1","Desligado","Ligado")</f>
        <v>Ligado</v>
      </c>
      <c r="N39" s="1" t="str">
        <f>IF(MID(Tab_Payload3[[#This Row],[Byte7]],5,1)="1","Desativado","Acionado")</f>
        <v>Acionado</v>
      </c>
      <c r="O39" s="1" t="str">
        <f>IF(MID(Tab_Payload3[[#This Row],[Byte8]],2,1)="1","Movimento","Parado")</f>
        <v>Parado</v>
      </c>
      <c r="P39" s="1" t="str">
        <f>IF(MID(Tab_Payload3[[#This Row],[Byte0]],6,1)="1","Carga Baixa","Com Carga")</f>
        <v>Com Carga</v>
      </c>
      <c r="Q39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39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39" s="8" t="str">
        <f>HYPERLINK("http://maps.google.com/maps?q="&amp;CONCATENATE(Tab_Payload3[[#This Row],[Latitude]], ",", Tab_Payload3[[#This Row],[Longitude]]),"Google Map")</f>
        <v>Google Map</v>
      </c>
      <c r="T39" s="1" t="str">
        <f>IF(MID(Tab_Payload3[[#This Row],[Byte0]],5,1)="0","Yes","No")</f>
        <v>Yes</v>
      </c>
      <c r="U39" s="1" t="str">
        <f>MID(Tab_Payload3[[#This Row],[Byte0]],3,2)</f>
        <v>00</v>
      </c>
      <c r="V39" s="1">
        <f>BIN2DEC(MID(Tab_Payload3[[#This Row],[Byte0]],1,2))</f>
        <v>0</v>
      </c>
      <c r="W39" s="1" t="str">
        <f>IF(MID(Tab_Payload3[[#This Row],[Byte7]],8,1)="1","Yes","No")</f>
        <v>No</v>
      </c>
      <c r="X39" s="1" t="str">
        <f>IF(MID(Tab_Payload3[[#This Row],[Byte7]],6,1)="1","Yes","No")</f>
        <v>No</v>
      </c>
      <c r="Y39" s="1" t="str">
        <f>MID(Tab_Payload3[[#This Row],[Byte8]],1,1)</f>
        <v>0</v>
      </c>
      <c r="Z39" s="1" t="str">
        <f>MID(Tab_Payload3[[#This Row],[Byte8]],3,1)</f>
        <v>0</v>
      </c>
      <c r="AA39" s="1" t="str">
        <f>MID(Tab_Payload3[[#This Row],[Byte8]],4,1)</f>
        <v>0</v>
      </c>
      <c r="AB39" s="1" t="str">
        <f>MID(Tab_Payload3[[#This Row],[Byte8]],5,1)</f>
        <v>0</v>
      </c>
    </row>
    <row r="40" spans="1:28" x14ac:dyDescent="0.45">
      <c r="A40" s="9"/>
      <c r="B40" s="9"/>
      <c r="C40" s="9"/>
      <c r="D40" s="1" t="str">
        <f t="shared" si="0"/>
        <v>00000000</v>
      </c>
      <c r="E40" s="1" t="str">
        <f t="shared" si="1"/>
        <v/>
      </c>
      <c r="F40" s="1" t="str">
        <f t="shared" si="2"/>
        <v/>
      </c>
      <c r="G40" s="1" t="str">
        <f t="shared" si="3"/>
        <v>00000000</v>
      </c>
      <c r="H40" s="1" t="str">
        <f t="shared" si="4"/>
        <v>00000000</v>
      </c>
      <c r="I40" s="3" t="e">
        <f t="shared" si="5"/>
        <v>#VALUE!</v>
      </c>
      <c r="J40" s="4" t="e">
        <f>I40-I41</f>
        <v>#VALUE!</v>
      </c>
      <c r="K40" s="1" t="str" cm="1">
        <f t="array" ref="K40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0" s="1" t="str" cm="1">
        <f t="array" ref="L40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0" s="1" t="str">
        <f>IF(MID(Tab_Payload3[[#This Row],[Byte7]],7,1)="1","Desligado","Ligado")</f>
        <v>Ligado</v>
      </c>
      <c r="N40" s="1" t="str">
        <f>IF(MID(Tab_Payload3[[#This Row],[Byte7]],5,1)="1","Desativado","Acionado")</f>
        <v>Acionado</v>
      </c>
      <c r="O40" s="1" t="str">
        <f>IF(MID(Tab_Payload3[[#This Row],[Byte8]],2,1)="1","Movimento","Parado")</f>
        <v>Parado</v>
      </c>
      <c r="P40" s="1" t="str">
        <f>IF(MID(Tab_Payload3[[#This Row],[Byte0]],6,1)="1","Carga Baixa","Com Carga")</f>
        <v>Com Carga</v>
      </c>
      <c r="Q40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0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0" s="8" t="str">
        <f>HYPERLINK("http://maps.google.com/maps?q="&amp;CONCATENATE(Tab_Payload3[[#This Row],[Latitude]], ",", Tab_Payload3[[#This Row],[Longitude]]),"Google Map")</f>
        <v>Google Map</v>
      </c>
      <c r="T40" s="1" t="str">
        <f>IF(MID(Tab_Payload3[[#This Row],[Byte0]],5,1)="0","Yes","No")</f>
        <v>Yes</v>
      </c>
      <c r="U40" s="1" t="str">
        <f>MID(Tab_Payload3[[#This Row],[Byte0]],3,2)</f>
        <v>00</v>
      </c>
      <c r="V40" s="1">
        <f>BIN2DEC(MID(Tab_Payload3[[#This Row],[Byte0]],1,2))</f>
        <v>0</v>
      </c>
      <c r="W40" s="1" t="str">
        <f>IF(MID(Tab_Payload3[[#This Row],[Byte7]],8,1)="1","Yes","No")</f>
        <v>No</v>
      </c>
      <c r="X40" s="1" t="str">
        <f>IF(MID(Tab_Payload3[[#This Row],[Byte7]],6,1)="1","Yes","No")</f>
        <v>No</v>
      </c>
      <c r="Y40" s="1" t="str">
        <f>MID(Tab_Payload3[[#This Row],[Byte8]],1,1)</f>
        <v>0</v>
      </c>
      <c r="Z40" s="1" t="str">
        <f>MID(Tab_Payload3[[#This Row],[Byte8]],3,1)</f>
        <v>0</v>
      </c>
      <c r="AA40" s="1" t="str">
        <f>MID(Tab_Payload3[[#This Row],[Byte8]],4,1)</f>
        <v>0</v>
      </c>
      <c r="AB40" s="1" t="str">
        <f>MID(Tab_Payload3[[#This Row],[Byte8]],5,1)</f>
        <v>0</v>
      </c>
    </row>
    <row r="41" spans="1:28" x14ac:dyDescent="0.45">
      <c r="A41" s="9"/>
      <c r="B41" s="9"/>
      <c r="C41" s="9"/>
      <c r="D41" s="1" t="str">
        <f t="shared" si="0"/>
        <v>00000000</v>
      </c>
      <c r="E41" s="1" t="str">
        <f t="shared" si="1"/>
        <v/>
      </c>
      <c r="F41" s="1" t="str">
        <f t="shared" si="2"/>
        <v/>
      </c>
      <c r="G41" s="1" t="str">
        <f t="shared" si="3"/>
        <v>00000000</v>
      </c>
      <c r="H41" s="1" t="str">
        <f t="shared" si="4"/>
        <v>00000000</v>
      </c>
      <c r="I41" s="3" t="e">
        <f t="shared" si="5"/>
        <v>#VALUE!</v>
      </c>
      <c r="J41" s="4" t="e">
        <f>I41-I42</f>
        <v>#VALUE!</v>
      </c>
      <c r="K41" s="1" t="str" cm="1">
        <f t="array" ref="K41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1" s="1" t="str" cm="1">
        <f t="array" ref="L41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1" s="1" t="str">
        <f>IF(MID(Tab_Payload3[[#This Row],[Byte7]],7,1)="1","Desligado","Ligado")</f>
        <v>Ligado</v>
      </c>
      <c r="N41" s="1" t="str">
        <f>IF(MID(Tab_Payload3[[#This Row],[Byte7]],5,1)="1","Desativado","Acionado")</f>
        <v>Acionado</v>
      </c>
      <c r="O41" s="1" t="str">
        <f>IF(MID(Tab_Payload3[[#This Row],[Byte8]],2,1)="1","Movimento","Parado")</f>
        <v>Parado</v>
      </c>
      <c r="P41" s="1" t="str">
        <f>IF(MID(Tab_Payload3[[#This Row],[Byte0]],6,1)="1","Carga Baixa","Com Carga")</f>
        <v>Com Carga</v>
      </c>
      <c r="Q41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1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1" s="8" t="str">
        <f>HYPERLINK("http://maps.google.com/maps?q="&amp;CONCATENATE(Tab_Payload3[[#This Row],[Latitude]], ",", Tab_Payload3[[#This Row],[Longitude]]),"Google Map")</f>
        <v>Google Map</v>
      </c>
      <c r="T41" s="1" t="str">
        <f>IF(MID(Tab_Payload3[[#This Row],[Byte0]],5,1)="0","Yes","No")</f>
        <v>Yes</v>
      </c>
      <c r="U41" s="1" t="str">
        <f>MID(Tab_Payload3[[#This Row],[Byte0]],3,2)</f>
        <v>00</v>
      </c>
      <c r="V41" s="1">
        <f>BIN2DEC(MID(Tab_Payload3[[#This Row],[Byte0]],1,2))</f>
        <v>0</v>
      </c>
      <c r="W41" s="1" t="str">
        <f>IF(MID(Tab_Payload3[[#This Row],[Byte7]],8,1)="1","Yes","No")</f>
        <v>No</v>
      </c>
      <c r="X41" s="1" t="str">
        <f>IF(MID(Tab_Payload3[[#This Row],[Byte7]],6,1)="1","Yes","No")</f>
        <v>No</v>
      </c>
      <c r="Y41" s="1" t="str">
        <f>MID(Tab_Payload3[[#This Row],[Byte8]],1,1)</f>
        <v>0</v>
      </c>
      <c r="Z41" s="1" t="str">
        <f>MID(Tab_Payload3[[#This Row],[Byte8]],3,1)</f>
        <v>0</v>
      </c>
      <c r="AA41" s="1" t="str">
        <f>MID(Tab_Payload3[[#This Row],[Byte8]],4,1)</f>
        <v>0</v>
      </c>
      <c r="AB41" s="1" t="str">
        <f>MID(Tab_Payload3[[#This Row],[Byte8]],5,1)</f>
        <v>0</v>
      </c>
    </row>
    <row r="42" spans="1:28" x14ac:dyDescent="0.45">
      <c r="A42" s="9"/>
      <c r="B42" s="9"/>
      <c r="C42" s="9"/>
      <c r="D42" s="1" t="str">
        <f t="shared" si="0"/>
        <v>00000000</v>
      </c>
      <c r="E42" s="1" t="str">
        <f t="shared" si="1"/>
        <v/>
      </c>
      <c r="F42" s="1" t="str">
        <f t="shared" si="2"/>
        <v/>
      </c>
      <c r="G42" s="1" t="str">
        <f t="shared" si="3"/>
        <v>00000000</v>
      </c>
      <c r="H42" s="1" t="str">
        <f t="shared" si="4"/>
        <v>00000000</v>
      </c>
      <c r="I42" s="3" t="e">
        <f t="shared" si="5"/>
        <v>#VALUE!</v>
      </c>
      <c r="J42" s="4" t="e">
        <f>I42-I43</f>
        <v>#VALUE!</v>
      </c>
      <c r="K42" s="1" t="str" cm="1">
        <f t="array" ref="K42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2" s="1" t="str" cm="1">
        <f t="array" ref="L42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2" s="1" t="str">
        <f>IF(MID(Tab_Payload3[[#This Row],[Byte7]],7,1)="1","Desligado","Ligado")</f>
        <v>Ligado</v>
      </c>
      <c r="N42" s="1" t="str">
        <f>IF(MID(Tab_Payload3[[#This Row],[Byte7]],5,1)="1","Desativado","Acionado")</f>
        <v>Acionado</v>
      </c>
      <c r="O42" s="1" t="str">
        <f>IF(MID(Tab_Payload3[[#This Row],[Byte8]],2,1)="1","Movimento","Parado")</f>
        <v>Parado</v>
      </c>
      <c r="P42" s="1" t="str">
        <f>IF(MID(Tab_Payload3[[#This Row],[Byte0]],6,1)="1","Carga Baixa","Com Carga")</f>
        <v>Com Carga</v>
      </c>
      <c r="Q42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2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2" s="8" t="str">
        <f>HYPERLINK("http://maps.google.com/maps?q="&amp;CONCATENATE(Tab_Payload3[[#This Row],[Latitude]], ",", Tab_Payload3[[#This Row],[Longitude]]),"Google Map")</f>
        <v>Google Map</v>
      </c>
      <c r="T42" s="1" t="str">
        <f>IF(MID(Tab_Payload3[[#This Row],[Byte0]],5,1)="0","Yes","No")</f>
        <v>Yes</v>
      </c>
      <c r="U42" s="1" t="str">
        <f>MID(Tab_Payload3[[#This Row],[Byte0]],3,2)</f>
        <v>00</v>
      </c>
      <c r="V42" s="1">
        <f>BIN2DEC(MID(Tab_Payload3[[#This Row],[Byte0]],1,2))</f>
        <v>0</v>
      </c>
      <c r="W42" s="1" t="str">
        <f>IF(MID(Tab_Payload3[[#This Row],[Byte7]],8,1)="1","Yes","No")</f>
        <v>No</v>
      </c>
      <c r="X42" s="1" t="str">
        <f>IF(MID(Tab_Payload3[[#This Row],[Byte7]],6,1)="1","Yes","No")</f>
        <v>No</v>
      </c>
      <c r="Y42" s="1" t="str">
        <f>MID(Tab_Payload3[[#This Row],[Byte8]],1,1)</f>
        <v>0</v>
      </c>
      <c r="Z42" s="1" t="str">
        <f>MID(Tab_Payload3[[#This Row],[Byte8]],3,1)</f>
        <v>0</v>
      </c>
      <c r="AA42" s="1" t="str">
        <f>MID(Tab_Payload3[[#This Row],[Byte8]],4,1)</f>
        <v>0</v>
      </c>
      <c r="AB42" s="1" t="str">
        <f>MID(Tab_Payload3[[#This Row],[Byte8]],5,1)</f>
        <v>0</v>
      </c>
    </row>
    <row r="43" spans="1:28" x14ac:dyDescent="0.45">
      <c r="A43" s="9"/>
      <c r="B43" s="9"/>
      <c r="C43" s="9"/>
      <c r="D43" s="1" t="str">
        <f t="shared" si="0"/>
        <v>00000000</v>
      </c>
      <c r="E43" s="1" t="str">
        <f t="shared" si="1"/>
        <v/>
      </c>
      <c r="F43" s="1" t="str">
        <f t="shared" si="2"/>
        <v/>
      </c>
      <c r="G43" s="1" t="str">
        <f t="shared" si="3"/>
        <v>00000000</v>
      </c>
      <c r="H43" s="1" t="str">
        <f t="shared" si="4"/>
        <v>00000000</v>
      </c>
      <c r="I43" s="3" t="e">
        <f t="shared" si="5"/>
        <v>#VALUE!</v>
      </c>
      <c r="J43" s="4" t="e">
        <f>I43-I44</f>
        <v>#VALUE!</v>
      </c>
      <c r="K43" s="1" t="str" cm="1">
        <f t="array" ref="K43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3" s="1" t="str" cm="1">
        <f t="array" ref="L43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3" s="1" t="str">
        <f>IF(MID(Tab_Payload3[[#This Row],[Byte7]],7,1)="1","Desligado","Ligado")</f>
        <v>Ligado</v>
      </c>
      <c r="N43" s="1" t="str">
        <f>IF(MID(Tab_Payload3[[#This Row],[Byte7]],5,1)="1","Desativado","Acionado")</f>
        <v>Acionado</v>
      </c>
      <c r="O43" s="1" t="str">
        <f>IF(MID(Tab_Payload3[[#This Row],[Byte8]],2,1)="1","Movimento","Parado")</f>
        <v>Parado</v>
      </c>
      <c r="P43" s="1" t="str">
        <f>IF(MID(Tab_Payload3[[#This Row],[Byte0]],6,1)="1","Carga Baixa","Com Carga")</f>
        <v>Com Carga</v>
      </c>
      <c r="Q43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3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3" s="8" t="str">
        <f>HYPERLINK("http://maps.google.com/maps?q="&amp;CONCATENATE(Tab_Payload3[[#This Row],[Latitude]], ",", Tab_Payload3[[#This Row],[Longitude]]),"Google Map")</f>
        <v>Google Map</v>
      </c>
      <c r="T43" s="1" t="str">
        <f>IF(MID(Tab_Payload3[[#This Row],[Byte0]],5,1)="0","Yes","No")</f>
        <v>Yes</v>
      </c>
      <c r="U43" s="1" t="str">
        <f>MID(Tab_Payload3[[#This Row],[Byte0]],3,2)</f>
        <v>00</v>
      </c>
      <c r="V43" s="1">
        <f>BIN2DEC(MID(Tab_Payload3[[#This Row],[Byte0]],1,2))</f>
        <v>0</v>
      </c>
      <c r="W43" s="1" t="str">
        <f>IF(MID(Tab_Payload3[[#This Row],[Byte7]],8,1)="1","Yes","No")</f>
        <v>No</v>
      </c>
      <c r="X43" s="1" t="str">
        <f>IF(MID(Tab_Payload3[[#This Row],[Byte7]],6,1)="1","Yes","No")</f>
        <v>No</v>
      </c>
      <c r="Y43" s="1" t="str">
        <f>MID(Tab_Payload3[[#This Row],[Byte8]],1,1)</f>
        <v>0</v>
      </c>
      <c r="Z43" s="1" t="str">
        <f>MID(Tab_Payload3[[#This Row],[Byte8]],3,1)</f>
        <v>0</v>
      </c>
      <c r="AA43" s="1" t="str">
        <f>MID(Tab_Payload3[[#This Row],[Byte8]],4,1)</f>
        <v>0</v>
      </c>
      <c r="AB43" s="1" t="str">
        <f>MID(Tab_Payload3[[#This Row],[Byte8]],5,1)</f>
        <v>0</v>
      </c>
    </row>
    <row r="44" spans="1:28" x14ac:dyDescent="0.45">
      <c r="A44" s="9"/>
      <c r="B44" s="9"/>
      <c r="C44" s="9"/>
      <c r="D44" s="1" t="str">
        <f t="shared" si="0"/>
        <v>00000000</v>
      </c>
      <c r="E44" s="1" t="str">
        <f t="shared" si="1"/>
        <v/>
      </c>
      <c r="F44" s="1" t="str">
        <f t="shared" si="2"/>
        <v/>
      </c>
      <c r="G44" s="1" t="str">
        <f t="shared" si="3"/>
        <v>00000000</v>
      </c>
      <c r="H44" s="1" t="str">
        <f t="shared" si="4"/>
        <v>00000000</v>
      </c>
      <c r="I44" s="3" t="e">
        <f t="shared" si="5"/>
        <v>#VALUE!</v>
      </c>
      <c r="J44" s="4" t="e">
        <f t="shared" ref="J44:J45" si="7">I44-I45</f>
        <v>#VALUE!</v>
      </c>
      <c r="K44" s="1" t="str" cm="1">
        <f t="array" ref="K44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4" s="1" t="str" cm="1">
        <f t="array" ref="L44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4" s="1" t="str">
        <f>IF(MID(Tab_Payload3[[#This Row],[Byte7]],7,1)="1","Desligado","Ligado")</f>
        <v>Ligado</v>
      </c>
      <c r="N44" s="1" t="str">
        <f>IF(MID(Tab_Payload3[[#This Row],[Byte7]],5,1)="1","Desativado","Acionado")</f>
        <v>Acionado</v>
      </c>
      <c r="O44" s="1" t="str">
        <f>IF(MID(Tab_Payload3[[#This Row],[Byte8]],2,1)="1","Movimento","Parado")</f>
        <v>Parado</v>
      </c>
      <c r="P44" s="1" t="str">
        <f>IF(MID(Tab_Payload3[[#This Row],[Byte0]],6,1)="1","Carga Baixa","Com Carga")</f>
        <v>Com Carga</v>
      </c>
      <c r="Q44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4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4" s="8" t="str">
        <f>HYPERLINK("http://maps.google.com/maps?q="&amp;CONCATENATE(Tab_Payload3[[#This Row],[Latitude]], ",", Tab_Payload3[[#This Row],[Longitude]]),"Google Map")</f>
        <v>Google Map</v>
      </c>
      <c r="T44" s="1" t="str">
        <f>IF(MID(Tab_Payload3[[#This Row],[Byte0]],5,1)="0","Yes","No")</f>
        <v>Yes</v>
      </c>
      <c r="U44" s="1" t="str">
        <f>MID(Tab_Payload3[[#This Row],[Byte0]],3,2)</f>
        <v>00</v>
      </c>
      <c r="V44" s="1">
        <f>BIN2DEC(MID(Tab_Payload3[[#This Row],[Byte0]],1,2))</f>
        <v>0</v>
      </c>
      <c r="W44" s="1" t="str">
        <f>IF(MID(Tab_Payload3[[#This Row],[Byte7]],8,1)="1","Yes","No")</f>
        <v>No</v>
      </c>
      <c r="X44" s="1" t="str">
        <f>IF(MID(Tab_Payload3[[#This Row],[Byte7]],6,1)="1","Yes","No")</f>
        <v>No</v>
      </c>
      <c r="Y44" s="1" t="str">
        <f>MID(Tab_Payload3[[#This Row],[Byte8]],1,1)</f>
        <v>0</v>
      </c>
      <c r="Z44" s="1" t="str">
        <f>MID(Tab_Payload3[[#This Row],[Byte8]],3,1)</f>
        <v>0</v>
      </c>
      <c r="AA44" s="1" t="str">
        <f>MID(Tab_Payload3[[#This Row],[Byte8]],4,1)</f>
        <v>0</v>
      </c>
      <c r="AB44" s="1" t="str">
        <f>MID(Tab_Payload3[[#This Row],[Byte8]],5,1)</f>
        <v>0</v>
      </c>
    </row>
    <row r="45" spans="1:28" x14ac:dyDescent="0.45">
      <c r="A45" s="9"/>
      <c r="B45" s="9"/>
      <c r="C45" s="9"/>
      <c r="D45" s="1" t="str">
        <f t="shared" si="0"/>
        <v>00000000</v>
      </c>
      <c r="E45" s="1" t="str">
        <f t="shared" si="1"/>
        <v/>
      </c>
      <c r="F45" s="1" t="str">
        <f t="shared" si="2"/>
        <v/>
      </c>
      <c r="G45" s="1" t="str">
        <f t="shared" si="3"/>
        <v>00000000</v>
      </c>
      <c r="H45" s="1" t="str">
        <f t="shared" si="4"/>
        <v>00000000</v>
      </c>
      <c r="I45" s="3" t="e">
        <f t="shared" si="5"/>
        <v>#VALUE!</v>
      </c>
      <c r="J45" s="4" t="e">
        <f t="shared" si="7"/>
        <v>#VALUE!</v>
      </c>
      <c r="K45" s="1" t="str" cm="1">
        <f t="array" ref="K45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5" s="1" t="str" cm="1">
        <f t="array" ref="L45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5" s="1" t="str">
        <f>IF(MID(Tab_Payload3[[#This Row],[Byte7]],7,1)="1","Desligado","Ligado")</f>
        <v>Ligado</v>
      </c>
      <c r="N45" s="1" t="str">
        <f>IF(MID(Tab_Payload3[[#This Row],[Byte7]],5,1)="1","Desativado","Acionado")</f>
        <v>Acionado</v>
      </c>
      <c r="O45" s="1" t="str">
        <f>IF(MID(Tab_Payload3[[#This Row],[Byte8]],2,1)="1","Movimento","Parado")</f>
        <v>Parado</v>
      </c>
      <c r="P45" s="1" t="str">
        <f>IF(MID(Tab_Payload3[[#This Row],[Byte0]],6,1)="1","Carga Baixa","Com Carga")</f>
        <v>Com Carga</v>
      </c>
      <c r="Q45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5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5" s="8" t="str">
        <f>HYPERLINK("http://maps.google.com/maps?q="&amp;CONCATENATE(Tab_Payload3[[#This Row],[Latitude]], ",", Tab_Payload3[[#This Row],[Longitude]]),"Google Map")</f>
        <v>Google Map</v>
      </c>
      <c r="T45" s="1" t="str">
        <f>IF(MID(Tab_Payload3[[#This Row],[Byte0]],5,1)="0","Yes","No")</f>
        <v>Yes</v>
      </c>
      <c r="U45" s="1" t="str">
        <f>MID(Tab_Payload3[[#This Row],[Byte0]],3,2)</f>
        <v>00</v>
      </c>
      <c r="V45" s="1">
        <f>BIN2DEC(MID(Tab_Payload3[[#This Row],[Byte0]],1,2))</f>
        <v>0</v>
      </c>
      <c r="W45" s="1" t="str">
        <f>IF(MID(Tab_Payload3[[#This Row],[Byte7]],8,1)="1","Yes","No")</f>
        <v>No</v>
      </c>
      <c r="X45" s="1" t="str">
        <f>IF(MID(Tab_Payload3[[#This Row],[Byte7]],6,1)="1","Yes","No")</f>
        <v>No</v>
      </c>
      <c r="Y45" s="1" t="str">
        <f>MID(Tab_Payload3[[#This Row],[Byte8]],1,1)</f>
        <v>0</v>
      </c>
      <c r="Z45" s="1" t="str">
        <f>MID(Tab_Payload3[[#This Row],[Byte8]],3,1)</f>
        <v>0</v>
      </c>
      <c r="AA45" s="1" t="str">
        <f>MID(Tab_Payload3[[#This Row],[Byte8]],4,1)</f>
        <v>0</v>
      </c>
      <c r="AB45" s="1" t="str">
        <f>MID(Tab_Payload3[[#This Row],[Byte8]],5,1)</f>
        <v>0</v>
      </c>
    </row>
    <row r="46" spans="1:28" x14ac:dyDescent="0.45">
      <c r="A46" s="9"/>
      <c r="B46" s="9"/>
      <c r="C46" s="9"/>
      <c r="D46" s="1" t="str">
        <f t="shared" si="0"/>
        <v>00000000</v>
      </c>
      <c r="E46" s="1" t="str">
        <f t="shared" si="1"/>
        <v/>
      </c>
      <c r="F46" s="1" t="str">
        <f t="shared" si="2"/>
        <v/>
      </c>
      <c r="G46" s="1" t="str">
        <f t="shared" si="3"/>
        <v>00000000</v>
      </c>
      <c r="H46" s="1" t="str">
        <f t="shared" si="4"/>
        <v>00000000</v>
      </c>
      <c r="I46" s="3" t="e">
        <f>LEFT(C46, 19)-TIME(3,0,0)</f>
        <v>#VALUE!</v>
      </c>
      <c r="J46" s="4" t="e">
        <f>I46-I47</f>
        <v>#VALUE!</v>
      </c>
      <c r="K46" s="1" t="str" cm="1">
        <f t="array" ref="K46">_xlfn.IFS(
BIN2DEC(MID(Tab_Payload3[[#This Row],[Byte0]],7,2))=0, "Standard",
BIN2DEC(MID(Tab_Payload3[[#This Row],[Byte0]],7,2))=1, "Truncated",
BIN2DEC(MID(Tab_Payload3[[#This Row],[Byte0]],7,2))=2, "RAW",
BIN2DEC(MID(Tab_Payload3[[#This Row],[Byte0]],7,2))=3, "Non Standard"
)</f>
        <v>Standard</v>
      </c>
      <c r="L46" s="1" t="str" cm="1">
        <f t="array" ref="L46">IF(Tab_Payload3[[#This Row],[Tipo Msg]]="Standard",
_xlfn.IFS(BIN2DEC(MID(Tab_Payload3[[#This Row],[Byte7]],1,4))=0, "Location Message",
BIN2DEC(MID(Tab_Payload3[[#This Row],[Byte7]],1,4))=1, "Device Turned On",
BIN2DEC(MID(Tab_Payload3[[#This Row],[Byte7]],1,4))=2, "Change Location",
BIN2DEC(MID(Tab_Payload3[[#This Row],[Byte7]],1,4))=3, "Input Status Changed",
BIN2DEC(MID(Tab_Payload3[[#This Row],[Byte7]],1,4))=4, "Undesired State",
BIN2DEC(MID(Tab_Payload3[[#This Row],[Byte7]],1,4))=5, "Re-Centering",
BIN2DEC(MID(Tab_Payload3[[#This Row],[Byte7]],1,4))=6, "Speed &amp; Heading"),
IF(Tab_Payload3[[#This Row],[Tipo Msg]]="Non Standard",
_xlfn.IFS(BIN2DEC(MID(Tab_Payload3[[#This Row],[Byte0]],1,6))=21, "Diagnostic",
BIN2DEC(MID(Tab_Payload3[[#This Row],[Byte0]],1,6))=22, "Replace Battery",
BIN2DEC(MID(Tab_Payload3[[#This Row],[Byte0]],1,6))=23, "Contact Service Provider",
BIN2DEC(MID(Tab_Payload3[[#This Row],[Byte0]],1,6))=24, "Acc/Counter"),
" "))</f>
        <v>Location Message</v>
      </c>
      <c r="M46" s="1" t="str">
        <f>IF(MID(Tab_Payload3[[#This Row],[Byte7]],7,1)="1","Desligado","Ligado")</f>
        <v>Ligado</v>
      </c>
      <c r="N46" s="1" t="str">
        <f>IF(MID(Tab_Payload3[[#This Row],[Byte7]],5,1)="1","Desativado","Acionado")</f>
        <v>Acionado</v>
      </c>
      <c r="O46" s="1" t="str">
        <f>IF(MID(Tab_Payload3[[#This Row],[Byte8]],2,1)="1","Movimento","Parado")</f>
        <v>Parado</v>
      </c>
      <c r="P46" s="1" t="str">
        <f>IF(MID(Tab_Payload3[[#This Row],[Byte0]],6,1)="1","Carga Baixa","Com Carga")</f>
        <v>Com Carga</v>
      </c>
      <c r="Q46" s="5" t="str">
        <f>SUBSTITUTE(IF((HEX2DEC(Tab_Payload3[[#This Row],[Byte1-3]]) * (90/HEX2DEC(800000))) &gt; 90, (HEX2DEC(Tab_Payload3[[#This Row],[Byte1-3]]) * (90/HEX2DEC(800000)))-180, (HEX2DEC(Tab_Payload3[[#This Row],[Byte1-3]]) * (90/HEX2DEC(800000)))), ",", ".")</f>
        <v>0</v>
      </c>
      <c r="R46" s="5" t="str">
        <f>SUBSTITUTE(IF((HEX2DEC(Tab_Payload3[[#This Row],[Byte4-6]]) * (180/HEX2DEC(800000))) &gt; 180, (HEX2DEC(Tab_Payload3[[#This Row],[Byte4-6]]) * (180/HEX2DEC(800000)))-360, (HEX2DEC(Tab_Payload3[[#This Row],[Byte4-6]]) * (180/HEX2DEC(800000)))), ",", ".")</f>
        <v>0</v>
      </c>
      <c r="S46" s="8" t="str">
        <f>HYPERLINK("http://maps.google.com/maps?q="&amp;CONCATENATE(Tab_Payload3[[#This Row],[Latitude]], ",", Tab_Payload3[[#This Row],[Longitude]]),"Google Map")</f>
        <v>Google Map</v>
      </c>
      <c r="T46" s="1" t="str">
        <f>IF(MID(Tab_Payload3[[#This Row],[Byte0]],5,1)="0","Yes","No")</f>
        <v>Yes</v>
      </c>
      <c r="U46" s="1" t="str">
        <f>MID(Tab_Payload3[[#This Row],[Byte0]],3,2)</f>
        <v>00</v>
      </c>
      <c r="V46" s="1">
        <f>BIN2DEC(MID(Tab_Payload3[[#This Row],[Byte0]],1,2))</f>
        <v>0</v>
      </c>
      <c r="W46" s="1" t="str">
        <f>IF(MID(Tab_Payload3[[#This Row],[Byte7]],8,1)="1","Yes","No")</f>
        <v>No</v>
      </c>
      <c r="X46" s="1" t="str">
        <f>IF(MID(Tab_Payload3[[#This Row],[Byte7]],6,1)="1","Yes","No")</f>
        <v>No</v>
      </c>
      <c r="Y46" s="1" t="str">
        <f>MID(Tab_Payload3[[#This Row],[Byte8]],1,1)</f>
        <v>0</v>
      </c>
      <c r="Z46" s="1" t="str">
        <f>MID(Tab_Payload3[[#This Row],[Byte8]],3,1)</f>
        <v>0</v>
      </c>
      <c r="AA46" s="1" t="str">
        <f>MID(Tab_Payload3[[#This Row],[Byte8]],4,1)</f>
        <v>0</v>
      </c>
      <c r="AB46" s="1" t="str">
        <f>MID(Tab_Payload3[[#This Row],[Byte8]],5,1)</f>
        <v>0</v>
      </c>
    </row>
  </sheetData>
  <conditionalFormatting sqref="J2:J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L46">
    <cfRule type="cellIs" dxfId="33" priority="6" operator="equal">
      <formula>"Non Standard"</formula>
    </cfRule>
  </conditionalFormatting>
  <conditionalFormatting sqref="M2:M46">
    <cfRule type="cellIs" dxfId="32" priority="4" operator="equal">
      <formula>"Desligado"</formula>
    </cfRule>
    <cfRule type="cellIs" dxfId="31" priority="5" operator="equal">
      <formula>"Ligado"</formula>
    </cfRule>
  </conditionalFormatting>
  <conditionalFormatting sqref="M2:AB46">
    <cfRule type="expression" dxfId="30" priority="2">
      <formula>OR($K2&lt;&gt;"Standard", $L2="Speed &amp; Heading")</formula>
    </cfRule>
  </conditionalFormatting>
  <conditionalFormatting sqref="P2:P46">
    <cfRule type="cellIs" dxfId="29" priority="3" operator="equal">
      <formula>"Carga Baixa"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C &amp; 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Arseneau</dc:creator>
  <cp:lastModifiedBy>Kelly Arseneau</cp:lastModifiedBy>
  <dcterms:created xsi:type="dcterms:W3CDTF">2025-11-20T16:17:02Z</dcterms:created>
  <dcterms:modified xsi:type="dcterms:W3CDTF">2025-11-20T16:17:52Z</dcterms:modified>
</cp:coreProperties>
</file>